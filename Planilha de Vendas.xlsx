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0.svg" ContentType="image/svg+xml"/>
  <Override PartName="/xl/media/image4.svg" ContentType="image/sv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10830" tabRatio="71" firstSheet="3" activeTab="3"/>
  </bookViews>
  <sheets>
    <sheet name="Assets" sheetId="1" state="hidden" r:id="rId1"/>
    <sheet name="Bases" sheetId="2" state="hidden" r:id="rId2"/>
    <sheet name="Cálculos" sheetId="3" state="hidden" r:id="rId3"/>
    <sheet name="Dashboards" sheetId="4" r:id="rId4"/>
  </sheets>
  <definedNames>
    <definedName name="Slicer_Subscription_Type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<sst xmlns="http://schemas.openxmlformats.org/spreadsheetml/2006/main" count="648" uniqueCount="138">
  <si>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</si>
  <si>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</si>
  <si>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</si>
  <si>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</si>
  <si>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</si>
  <si>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</si>
  <si>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</si>
  <si>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</si>
  <si>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</si>
  <si>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</si>
  <si>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</si>
  <si>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</si>
  <si>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</si>
  <si>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</si>
  <si>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</si>
  <si>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Month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</si>
  <si>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</si>
  <si>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</si>
  <si>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</si>
  <si>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</si>
  <si>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</si>
  <si>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</si>
  <si>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</si>
  <si>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</si>
  <si>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</si>
  <si>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</si>
  <si>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</si>
  <si>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</si>
  <si>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</si>
  <si>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Ana Souza</t>
  </si>
  <si>
    <t>No</t>
  </si>
  <si>
    <t>Camila Ribeiro</t>
  </si>
  <si>
    <t>Quarterly</t>
  </si>
  <si>
    <t>Sofia Almeida</t>
  </si>
  <si>
    <t>Marco Túlio</t>
  </si>
  <si>
    <t>Annual</t>
  </si>
  <si>
    <t>Fernanda Lima</t>
  </si>
  <si>
    <t>Cesar Oliveira</t>
  </si>
  <si>
    <t>Gabriela Santos</t>
  </si>
  <si>
    <t>Joaquim Barbosa</t>
  </si>
  <si>
    <t>Nicole Costa</t>
  </si>
  <si>
    <t>Raquel Alves</t>
  </si>
  <si>
    <t>Vinicius Lima</t>
  </si>
  <si>
    <t>Bruno Cavalheiro</t>
  </si>
  <si>
    <t>Eunice Lima</t>
  </si>
  <si>
    <t>Hélio Castro</t>
  </si>
  <si>
    <t>Kléber Oliveira</t>
  </si>
  <si>
    <t>Nilo Peçanha</t>
  </si>
  <si>
    <t>Quirino Gonçalves</t>
  </si>
  <si>
    <t>Tiago Ramos</t>
  </si>
  <si>
    <t>William Siqueira</t>
  </si>
  <si>
    <t>Zacarias Alves</t>
  </si>
  <si>
    <t>Carla Bruni</t>
  </si>
  <si>
    <t>Fábio Nobre</t>
  </si>
  <si>
    <t>Ivan Carvalho</t>
  </si>
  <si>
    <t>Lucas Mendes</t>
  </si>
  <si>
    <t>Otávio Barros</t>
  </si>
  <si>
    <t>Raquel Novaes</t>
  </si>
  <si>
    <t>Ulysses Guimarães</t>
  </si>
  <si>
    <t>Ximena Rocha</t>
  </si>
  <si>
    <t>Alan Teixeira</t>
  </si>
  <si>
    <t>Daniela Moura</t>
  </si>
  <si>
    <t>Geraldo Ribeiro</t>
  </si>
  <si>
    <t>João Pedro Almeida</t>
  </si>
  <si>
    <t>Marcelo Gouveia</t>
  </si>
  <si>
    <t>Patrícia Alves</t>
  </si>
  <si>
    <t>Ulisses Tavares</t>
  </si>
  <si>
    <t>Xavier Nascimento</t>
  </si>
  <si>
    <t>Amanda Lopes</t>
  </si>
  <si>
    <t>Diogo Souza</t>
  </si>
  <si>
    <t>João Marcelo</t>
  </si>
  <si>
    <t>Nadia Costa</t>
  </si>
  <si>
    <t>Quênia Barros</t>
  </si>
  <si>
    <t>Tiago Mendes</t>
  </si>
  <si>
    <t>Waldir Junior</t>
  </si>
  <si>
    <t>Zacarias Nunes</t>
  </si>
  <si>
    <t>Carlos Eduardo</t>
  </si>
  <si>
    <t>Fabiano Gomes</t>
  </si>
  <si>
    <t>Igor Martins</t>
  </si>
  <si>
    <t>Luciana Santos</t>
  </si>
  <si>
    <t>Oscar Ribeiro</t>
  </si>
  <si>
    <t>Renata Machado</t>
  </si>
  <si>
    <t>Ulysses Pereira</t>
  </si>
  <si>
    <t>Xuxa Meneghel</t>
  </si>
  <si>
    <t>André Lima</t>
  </si>
  <si>
    <t>Guilherme Souza</t>
  </si>
  <si>
    <t>João Carvalho</t>
  </si>
  <si>
    <t>Nina Pacheco</t>
  </si>
  <si>
    <t>Raquel Domingos</t>
  </si>
  <si>
    <t>Ulysses Farias</t>
  </si>
  <si>
    <t>Ximena Barros</t>
  </si>
  <si>
    <t>André Lopes</t>
  </si>
  <si>
    <t>Daniela Araújo</t>
  </si>
  <si>
    <t>Gabriel Teixeira</t>
  </si>
  <si>
    <t>Joana Silveira</t>
  </si>
  <si>
    <t>Nicolas Borges</t>
  </si>
  <si>
    <t>Raquel Andrade</t>
  </si>
  <si>
    <t>Ursula Monteiro</t>
  </si>
  <si>
    <t>Xavier Almeida</t>
  </si>
  <si>
    <t>Amanda Costa</t>
  </si>
  <si>
    <t>Diogo Martins</t>
  </si>
  <si>
    <t>Gabriel Santos</t>
  </si>
  <si>
    <t>Marcos Vinícius</t>
  </si>
  <si>
    <t>Patrícia Leite</t>
  </si>
  <si>
    <t>Sandra Gouveia</t>
  </si>
  <si>
    <t>Vanessa Andrade</t>
  </si>
  <si>
    <t>Yasmin Figueira</t>
  </si>
  <si>
    <t>Bruno Santos</t>
  </si>
  <si>
    <t>Elisa Neves</t>
  </si>
  <si>
    <t>Hélio Costa</t>
  </si>
  <si>
    <t>Klara Silva</t>
  </si>
  <si>
    <t>Natália Soares</t>
  </si>
  <si>
    <t>Quirino Neto</t>
  </si>
  <si>
    <t>Sandro Almeida</t>
  </si>
  <si>
    <t>Valéria Lima</t>
  </si>
  <si>
    <t>Ygor Farias</t>
  </si>
  <si>
    <t>Bruno Costa</t>
  </si>
  <si>
    <t>Elisa Correia</t>
  </si>
  <si>
    <t>Henrique Gonçalves</t>
  </si>
  <si>
    <t>Klara Fonseca</t>
  </si>
  <si>
    <t>Natália Castro</t>
  </si>
  <si>
    <t>Quentin Nogueira</t>
  </si>
  <si>
    <t>Tânia Machado</t>
  </si>
  <si>
    <t>William Carvalho</t>
  </si>
  <si>
    <t>Zacarias Duarte</t>
  </si>
  <si>
    <t>Carla Siqueira</t>
  </si>
  <si>
    <r>
      <rPr>
        <sz val="12"/>
        <color theme="1"/>
        <rFont val="Calibri"/>
        <charset val="134"/>
        <scheme val="minor"/>
      </rPr>
      <t xml:space="preserve">Pergunta de Negócio 1- Faturamento </t>
    </r>
    <r>
      <rPr>
        <b/>
        <i/>
        <sz val="12"/>
        <color theme="1"/>
        <rFont val="Calibri"/>
        <charset val="134"/>
        <scheme val="minor"/>
      </rPr>
      <t>total de vendas</t>
    </r>
    <r>
      <rPr>
        <sz val="12"/>
        <color theme="1"/>
        <rFont val="Calibri"/>
        <charset val="134"/>
        <scheme val="minor"/>
      </rPr>
      <t xml:space="preserve"> de </t>
    </r>
    <r>
      <rPr>
        <b/>
        <i/>
        <sz val="12"/>
        <color theme="1"/>
        <rFont val="Calibri"/>
        <charset val="134"/>
        <scheme val="minor"/>
      </rPr>
      <t>planos anuais</t>
    </r>
    <r>
      <rPr>
        <sz val="12"/>
        <color theme="1"/>
        <rFont val="Calibri"/>
        <charset val="134"/>
        <scheme val="minor"/>
      </rPr>
      <t xml:space="preserve"> (contendo totas as assinaturas englobadas?)</t>
    </r>
  </si>
  <si>
    <r>
      <rPr>
        <sz val="12"/>
        <color theme="1"/>
        <rFont val="Calibri"/>
        <charset val="134"/>
        <scheme val="minor"/>
      </rPr>
      <t xml:space="preserve">Pergunta de Negócio 2- Faturamento </t>
    </r>
    <r>
      <rPr>
        <b/>
        <i/>
        <sz val="12"/>
        <color theme="1"/>
        <rFont val="Calibri"/>
        <charset val="134"/>
        <scheme val="minor"/>
      </rPr>
      <t>total de vendas</t>
    </r>
    <r>
      <rPr>
        <sz val="12"/>
        <color theme="1"/>
        <rFont val="Calibri"/>
        <charset val="134"/>
        <scheme val="minor"/>
      </rPr>
      <t xml:space="preserve"> de </t>
    </r>
    <r>
      <rPr>
        <b/>
        <i/>
        <sz val="12"/>
        <color theme="1"/>
        <rFont val="Calibri"/>
        <charset val="134"/>
        <scheme val="minor"/>
      </rPr>
      <t>planos anuais, separados por auto renovação?</t>
    </r>
  </si>
  <si>
    <t>Soma de Total Value</t>
  </si>
  <si>
    <t>Total geral</t>
  </si>
  <si>
    <t>Pergunta de Negócio 3 - Total de vendas EA Season Play Pass?</t>
  </si>
  <si>
    <t>Soma de EA Play Season Pass
Price</t>
  </si>
  <si>
    <t>Pergunta de Negócio 4 - Total de vendas Minecraft Season Pass?</t>
  </si>
  <si>
    <t>Soma de Minecraft Season Pass Price</t>
  </si>
  <si>
    <t>Pergunta de Negócio 5 - Em qual mês tivemos mais vendas?</t>
  </si>
  <si>
    <t>Pergunta de Negócio 6 - Em qual mês tivemos menos vendas?</t>
  </si>
  <si>
    <t>XBOX GAME PASS SUBSCRIPTIONS SALES</t>
  </si>
  <si>
    <t>Calculation period: 01/01/2024 until 31/12/2024 | Update date: 25/12/2025 at 09:00:00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</si>
</sst>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;\-&quot;R$&quot;\ #,##0.00"/>
    <numFmt numFmtId="181" formatCode="mmmm"/>
    <numFmt numFmtId="182" formatCode="&quot;R$&quot;\ #,##0.00;\-&quot;R$&quot;\ #,##0.00"/>
    <numFmt numFmtId="183" formatCode="&quot;R$&quot;\ #,##0.00;\-&quot;R$&quot;\ #,##0.00"/>
  </numFmts>
  <fonts count="28">
    <font>
      <sz val="10"/>
      <color theme="1"/>
      <name val="Calibri"/>
      <charset val="134"/>
      <scheme val="minor"/>
    </font>
    <font>
      <b/>
      <sz val="15"/>
      <color rgb="FF2AE6B1"/>
      <name val="Segoe UI"/>
      <charset val="134"/>
    </font>
    <font>
      <b/>
      <sz val="15"/>
      <color rgb="FF22C55E"/>
      <name val="Segoe UI"/>
      <charset val="134"/>
    </font>
    <font>
      <sz val="10"/>
      <color theme="0" tint="-0.35"/>
      <name val="Segoe UI"/>
      <charset val="134"/>
    </font>
    <font>
      <sz val="22"/>
      <color rgb="FF22C55E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E8E6E9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B831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rgb="FF2AE6B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5" applyNumberFormat="0" applyAlignment="0" applyProtection="0">
      <alignment vertical="center"/>
    </xf>
    <xf numFmtId="0" fontId="17" fillId="12" borderId="16" applyNumberFormat="0" applyAlignment="0" applyProtection="0">
      <alignment vertical="center"/>
    </xf>
    <xf numFmtId="0" fontId="18" fillId="12" borderId="15" applyNumberFormat="0" applyAlignment="0" applyProtection="0">
      <alignment vertical="center"/>
    </xf>
    <xf numFmtId="0" fontId="19" fillId="13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 applyBorder="1" applyAlignment="1">
      <alignment horizontal="left" indent="4"/>
    </xf>
    <xf numFmtId="0" fontId="0" fillId="0" borderId="1" xfId="0" applyBorder="1" applyAlignment="1">
      <alignment horizontal="left" vertical="top" indent="3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180" fontId="4" fillId="2" borderId="0" xfId="0" applyNumberFormat="1" applyFont="1" applyFill="1">
      <alignment vertical="center"/>
    </xf>
    <xf numFmtId="181" fontId="4" fillId="2" borderId="0" xfId="0" applyNumberFormat="1" applyFont="1" applyFill="1">
      <alignment vertical="center"/>
    </xf>
    <xf numFmtId="0" fontId="0" fillId="0" borderId="0" xfId="0" applyBorder="1">
      <alignment vertical="center"/>
    </xf>
    <xf numFmtId="0" fontId="0" fillId="2" borderId="0" xfId="0" applyFill="1" applyAlignment="1">
      <alignment vertical="center" wrapText="1"/>
    </xf>
    <xf numFmtId="0" fontId="5" fillId="0" borderId="0" xfId="0" applyFont="1">
      <alignment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180" fontId="0" fillId="4" borderId="0" xfId="0" applyNumberFormat="1" applyFill="1">
      <alignment vertical="center"/>
    </xf>
    <xf numFmtId="0" fontId="0" fillId="0" borderId="0" xfId="0" applyFill="1">
      <alignment vertical="center"/>
    </xf>
    <xf numFmtId="180" fontId="0" fillId="0" borderId="0" xfId="0" applyNumberFormat="1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6" fillId="0" borderId="0" xfId="0" applyFont="1" applyFill="1" applyAlignment="1"/>
    <xf numFmtId="0" fontId="7" fillId="5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58" fontId="6" fillId="0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 wrapText="1"/>
    </xf>
    <xf numFmtId="177" fontId="6" fillId="0" borderId="0" xfId="2" applyFont="1" applyAlignment="1">
      <alignment horizontal="center" vertical="center" wrapText="1"/>
    </xf>
    <xf numFmtId="0" fontId="8" fillId="0" borderId="11" xfId="12" applyFont="1" applyBorder="1" applyAlignment="1"/>
    <xf numFmtId="0" fontId="6" fillId="6" borderId="0" xfId="0" applyFont="1" applyFill="1" applyAlignment="1"/>
    <xf numFmtId="0" fontId="6" fillId="2" borderId="0" xfId="0" applyFont="1" applyFill="1" applyAlignment="1"/>
    <xf numFmtId="0" fontId="6" fillId="7" borderId="0" xfId="0" applyFont="1" applyFill="1" applyAlignment="1"/>
    <xf numFmtId="0" fontId="6" fillId="3" borderId="0" xfId="0" applyFont="1" applyFill="1" applyAlignment="1"/>
    <xf numFmtId="0" fontId="6" fillId="8" borderId="0" xfId="0" applyFont="1" applyFill="1" applyAlignment="1"/>
    <xf numFmtId="0" fontId="6" fillId="9" borderId="0" xfId="0" applyFont="1" applyFill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54">
    <dxf>
      <numFmt numFmtId="180" formatCode="&quot;R$&quot;\ #,##0.00;\-&quot;R$&quot;\ #,##0.00"/>
    </dxf>
    <dxf>
      <numFmt numFmtId="180" formatCode="&quot;R$&quot;\ #,##0.00;\-&quot;R$&quot;\ #,##0.00"/>
    </dxf>
    <dxf>
      <numFmt numFmtId="180" formatCode="&quot;R$&quot;\ #,##0.00;\-&quot;R$&quot;\ #,##0.00"/>
    </dxf>
    <dxf>
      <numFmt numFmtId="180" formatCode="&quot;R$&quot;\ #,##0.00;\-&quot;R$&quot;\ #,##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Calibri"/>
        <scheme val="none"/>
        <family val="2"/>
        <sz val="11"/>
      </font>
      <fill>
        <patternFill patternType="none"/>
      </fill>
      <alignment horizontal="center" vertical="center" wrapText="1"/>
    </dxf>
    <dxf>
      <font>
        <name val="Calibri"/>
        <scheme val="none"/>
        <family val="2"/>
        <sz val="11"/>
      </font>
      <fill>
        <patternFill patternType="none"/>
      </fill>
      <alignment horizontal="center" vertical="center" wrapText="1"/>
    </dxf>
    <dxf>
      <font>
        <name val="Calibri"/>
        <scheme val="none"/>
        <family val="2"/>
        <sz val="11"/>
      </font>
      <fill>
        <patternFill patternType="none"/>
      </fill>
      <alignment horizontal="center" vertical="center" wrapText="1"/>
    </dxf>
    <dxf>
      <font>
        <name val="Calibri"/>
        <scheme val="none"/>
        <family val="2"/>
        <sz val="11"/>
      </font>
      <numFmt numFmtId="58" formatCode="dd/mm/yyyy"/>
      <fill>
        <patternFill patternType="none"/>
      </fill>
      <alignment horizontal="center" vertical="center" wrapText="1"/>
    </dxf>
    <dxf>
      <numFmt numFmtId="0" formatCode="General"/>
    </dxf>
    <dxf>
      <font>
        <name val="Calibri"/>
        <scheme val="none"/>
        <family val="2"/>
        <sz val="11"/>
      </font>
      <fill>
        <patternFill patternType="none"/>
      </fill>
      <alignment horizontal="center" vertical="center" wrapText="1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 wrapText="1"/>
    </dxf>
    <dxf>
      <font>
        <name val="Calibri"/>
        <scheme val="none"/>
        <family val="2"/>
        <sz val="11"/>
      </font>
      <fill>
        <patternFill patternType="none"/>
      </fill>
      <alignment horizontal="center" vertical="center" wrapText="1"/>
    </dxf>
    <dxf>
      <font>
        <name val="Calibri"/>
        <scheme val="none"/>
        <family val="2"/>
        <sz val="11"/>
      </font>
      <fill>
        <patternFill patternType="none"/>
      </fill>
      <alignment horizontal="center" vertical="center" wrapText="1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 wrapText="1"/>
    </dxf>
    <dxf>
      <font>
        <name val="Calibri"/>
        <scheme val="none"/>
        <family val="2"/>
        <sz val="11"/>
      </font>
      <fill>
        <patternFill patternType="none"/>
      </fill>
      <alignment horizontal="center" vertical="center" wrapText="1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 wrapText="1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 wrapText="1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9" tint="0.799981688894314"/>
          <bgColor theme="9" tint="0.799981688894314"/>
        </patternFill>
      </fill>
    </dxf>
    <dxf>
      <fill>
        <patternFill patternType="solid">
          <fgColor theme="9" tint="0.799981688894314"/>
          <bgColor theme="9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9"/>
        </top>
      </border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horizontal style="thin">
          <color theme="9" tint="0.399975585192419"/>
        </horizontal>
      </border>
    </dxf>
    <dxf>
      <font>
        <b val="1"/>
        <color theme="1"/>
      </font>
      <border>
        <bottom style="thin">
          <color theme="9"/>
        </bottom>
      </border>
    </dxf>
    <dxf>
      <font>
        <color theme="1"/>
      </font>
      <fill>
        <patternFill patternType="solid">
          <bgColor rgb="FF2AE6B1"/>
        </patternFill>
      </fill>
      <border>
        <left/>
        <right/>
        <top/>
        <bottom/>
        <vertical/>
        <horizontal/>
      </border>
    </dxf>
    <dxf>
      <font>
        <b val="1"/>
        <color theme="1"/>
      </font>
      <border>
        <bottom style="thin">
          <color theme="9"/>
        </bottom>
      </border>
    </dxf>
    <dxf>
      <font>
        <color theme="1"/>
      </font>
      <fill>
        <patternFill patternType="solid">
          <bgColor rgb="FF2AE6B1"/>
        </patternFill>
      </fill>
      <border>
        <left/>
        <right/>
        <top/>
        <bottom/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5" defaultTableStyle="TableStylePreset3_Accent1" defaultPivotStyle="PivotStylePreset2_Accent1">
    <tableStyle name="TableStylePreset3_Accent1" pivot="0" count="7" xr9:uid="{59DB682C-5494-4EDE-A608-00C9E5F0F923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TableStylePreset3_Accent6" pivot="0" count="7" xr9:uid="{05DBA3B5-05AF-4025-9FC3-C76D3AFAB2B7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firstColumnStripe" dxfId="33"/>
    </tableStyle>
    <tableStyle name="SlicerStyleDark6 2" pivot="0" table="0" count="10" xr9:uid="{A47D2F2C-3036-41E5-90CF-5E0585479FAA}">
      <tableStyleElement type="wholeTable" dxfId="41"/>
      <tableStyleElement type="headerRow" dxfId="40"/>
    </tableStyle>
    <tableStyle name="SlicerStyleDark6 2 2" pivot="0" table="0" count="10" xr9:uid="{4F0402B2-84C2-455C-AC5F-7C2A50045D4A}">
      <tableStyleElement type="wholeTable" dxfId="43"/>
      <tableStyleElement type="headerRow" dxfId="42"/>
    </tableStyle>
    <tableStyle name="PivotStylePreset2_Accent1" table="0" count="10" xr9:uid="{267968C8-6FFD-4C36-ACC1-9EA1FD1885CA}">
      <tableStyleElement type="headerRow" dxfId="53"/>
      <tableStyleElement type="totalRow" dxfId="52"/>
      <tableStyleElement type="firstRowStripe" dxfId="51"/>
      <tableStyleElement type="firstColumnStripe" dxfId="50"/>
      <tableStyleElement type="firstSubtotalRow" dxfId="49"/>
      <tableStyleElement type="secondSubtotalRow" dxfId="48"/>
      <tableStyleElement type="firstRowSubheading" dxfId="47"/>
      <tableStyleElement type="secondRowSubheading" dxfId="46"/>
      <tableStyleElement type="pageFieldLabels" dxfId="45"/>
      <tableStyleElement type="pageFieldValues" dxfId="44"/>
    </tableStyle>
  </tableStyles>
  <colors>
    <mruColors>
      <color rgb="00FFFFFF"/>
      <color rgb="00000000"/>
      <color rgb="00E8E6E9"/>
      <color rgb="002B8313"/>
      <color rgb="0022C55E"/>
      <color rgb="005BF6A8"/>
      <color rgb="002AE6B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theme="9" tint="-0.249977111117893"/>
          </font>
          <fill>
            <patternFill patternType="solid">
              <fgColor theme="9" tint="0.599993896298105"/>
              <bgColor theme="9" tint="0.599993896298105"/>
            </patternFill>
          </fill>
          <border>
            <left style="thin">
              <color theme="9" tint="0.599993896298105"/>
            </left>
            <right style="thin">
              <color theme="9" tint="0.599993896298105"/>
            </right>
            <top style="thin">
              <color theme="9" tint="0.599993896298105"/>
            </top>
            <bottom style="thin">
              <color theme="9" tint="0.599993896298105"/>
            </bottom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theme="9" tint="-0.249977111117893"/>
          </font>
          <fill>
            <patternFill patternType="solid">
              <fgColor theme="9" tint="0.599993896298105"/>
              <bgColor theme="9" tint="0.599993896298105"/>
            </patternFill>
          </fill>
          <border>
            <left style="thin">
              <color theme="9" tint="0.599993896298105"/>
            </left>
            <right style="thin">
              <color theme="9" tint="0.599993896298105"/>
            </right>
            <top style="thin">
              <color theme="9" tint="0.599993896298105"/>
            </top>
            <bottom style="thin">
              <color theme="9" tint="0.599993896298105"/>
            </bottom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Dark6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Vendas.xlsx]Cálculos!Tbl_annual_total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Cálculos!$A$9:$A$11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Cálculos!$B$9:$B$11</c:f>
              <c:numCache>
                <c:formatCode>"R$"\ #,##0.00;\-"R$"\ #,##0.00</c:formatCode>
                <c:ptCount val="2"/>
                <c:pt idx="0">
                  <c:v>1836</c:v>
                </c:pt>
                <c:pt idx="1">
                  <c:v>585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39521067"/>
        <c:axId val="242058758"/>
      </c:barChart>
      <c:catAx>
        <c:axId val="23952106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2058758"/>
        <c:crosses val="autoZero"/>
        <c:auto val="1"/>
        <c:lblAlgn val="ctr"/>
        <c:lblOffset val="100"/>
        <c:noMultiLvlLbl val="0"/>
      </c:catAx>
      <c:valAx>
        <c:axId val="242058758"/>
        <c:scaling>
          <c:orientation val="minMax"/>
        </c:scaling>
        <c:delete val="1"/>
        <c:axPos val="b"/>
        <c:numFmt formatCode="&quot;R$&quot;\ #,##0.00;\-&quot;R$&quot;\ 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5210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0e286a-7f4d-4dc7-b2be-4dbdae9885d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pt-BR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5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219074</xdr:colOff>
      <xdr:row>12</xdr:row>
      <xdr:rowOff>138302</xdr:rowOff>
    </xdr:from>
    <xdr:to>
      <xdr:col>3</xdr:col>
      <xdr:colOff>501014</xdr:colOff>
      <xdr:row>14</xdr:row>
      <xdr:rowOff>152907</xdr:rowOff>
    </xdr:to>
    <xdr:pic>
      <xdr:nvPicPr>
        <xdr:cNvPr id="2" name="Imagem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4240" y="2566670"/>
          <a:ext cx="1653540" cy="405130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21590</xdr:rowOff>
    </xdr:to>
    <xdr:pic>
      <xdr:nvPicPr>
        <xdr:cNvPr id="3" name="Imagem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3267075" cy="926465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47625</xdr:rowOff>
    </xdr:to>
    <xdr:pic>
      <xdr:nvPicPr>
        <xdr:cNvPr id="4" name="Gráfico 6" descr="Lupa com preenchimento sólido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710805" y="2647950"/>
          <a:ext cx="314325" cy="21907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>
      <xdr:nvSpPr>
        <xdr:cNvPr id="5" name="Elipse 4"/>
        <xdr:cNvSpPr/>
      </xdr:nvSpPr>
      <xdr:spPr>
        <a:xfrm>
          <a:off x="5834380" y="2562225"/>
          <a:ext cx="771525" cy="695325"/>
        </a:xfrm>
        <a:prstGeom prst="ellipse">
          <a:avLst/>
        </a:prstGeom>
        <a:blipFill>
          <a:blip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>
      <xdr:nvSpPr>
        <xdr:cNvPr id="6" name="Elipse 5"/>
        <xdr:cNvSpPr/>
      </xdr:nvSpPr>
      <xdr:spPr>
        <a:xfrm>
          <a:off x="6729730" y="2571750"/>
          <a:ext cx="771525" cy="695325"/>
        </a:xfrm>
        <a:prstGeom prst="ellipse">
          <a:avLst/>
        </a:prstGeom>
        <a:blipFill>
          <a:blip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171450</xdr:rowOff>
    </xdr:from>
    <xdr:to>
      <xdr:col>3</xdr:col>
      <xdr:colOff>57150</xdr:colOff>
      <xdr:row>27</xdr:row>
      <xdr:rowOff>123825</xdr:rowOff>
    </xdr:to>
    <xdr:pic>
      <xdr:nvPicPr>
        <xdr:cNvPr id="7" name="Imagem 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4324350"/>
          <a:ext cx="1371600" cy="1095375"/>
        </a:xfrm>
        <a:prstGeom prst="rect">
          <a:avLst/>
        </a:prstGeom>
      </xdr:spPr>
    </xdr:pic>
    <xdr:clientData/>
  </xdr:twoCellAnchor>
  <xdr:twoCellAnchor editAs="absolute">
    <xdr:from>
      <xdr:col>4</xdr:col>
      <xdr:colOff>0</xdr:colOff>
      <xdr:row>24</xdr:row>
      <xdr:rowOff>0</xdr:rowOff>
    </xdr:from>
    <xdr:to>
      <xdr:col>6</xdr:col>
      <xdr:colOff>406400</xdr:colOff>
      <xdr:row>27</xdr:row>
      <xdr:rowOff>105410</xdr:rowOff>
    </xdr:to>
    <xdr:grpSp>
      <xdr:nvGrpSpPr>
        <xdr:cNvPr id="8" name="Agrupar 16"/>
        <xdr:cNvGrpSpPr/>
      </xdr:nvGrpSpPr>
      <xdr:grpSpPr>
        <a:xfrm>
          <a:off x="2743200" y="4724400"/>
          <a:ext cx="1778000" cy="676910"/>
          <a:chOff x="3495675" y="5400674"/>
          <a:chExt cx="1549476" cy="752476"/>
        </a:xfrm>
      </xdr:grpSpPr>
      <xdr:pic>
        <xdr:nvPicPr>
          <xdr:cNvPr id="9" name="Imagem 8"/>
          <xdr:cNvPicPr>
            <a:picLocks noChangeAspect="1"/>
          </xdr:cNvPicPr>
        </xdr:nvPicPr>
        <xdr:blipFill>
          <a:blip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0" name="Gráfico 13"/>
          <xdr:cNvPicPr>
            <a:picLocks noChangeAspect="1"/>
          </xdr:cNvPicPr>
        </xdr:nvPicPr>
        <xdr:blipFill>
          <a:blip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1955165</xdr:colOff>
      <xdr:row>1</xdr:row>
      <xdr:rowOff>71755</xdr:rowOff>
    </xdr:from>
    <xdr:to>
      <xdr:col>2</xdr:col>
      <xdr:colOff>497840</xdr:colOff>
      <xdr:row>3</xdr:row>
      <xdr:rowOff>100965</xdr:rowOff>
    </xdr:to>
    <xdr:pic>
      <xdr:nvPicPr>
        <xdr:cNvPr id="2" name="Imagem 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6" t="13306" r="72317" b="11591"/>
        <a:stretch>
          <a:fillRect/>
        </a:stretch>
      </xdr:blipFill>
      <xdr:spPr>
        <a:xfrm>
          <a:off x="1955165" y="233680"/>
          <a:ext cx="733425" cy="765810"/>
        </a:xfrm>
        <a:prstGeom prst="rect">
          <a:avLst/>
        </a:prstGeom>
      </xdr:spPr>
    </xdr:pic>
    <xdr:clientData/>
  </xdr:twoCellAnchor>
  <xdr:twoCellAnchor>
    <xdr:from>
      <xdr:col>2</xdr:col>
      <xdr:colOff>409575</xdr:colOff>
      <xdr:row>13</xdr:row>
      <xdr:rowOff>57150</xdr:rowOff>
    </xdr:from>
    <xdr:to>
      <xdr:col>11</xdr:col>
      <xdr:colOff>189865</xdr:colOff>
      <xdr:row>30</xdr:row>
      <xdr:rowOff>47625</xdr:rowOff>
    </xdr:to>
    <xdr:grpSp>
      <xdr:nvGrpSpPr>
        <xdr:cNvPr id="11" name="Grupo 10"/>
        <xdr:cNvGrpSpPr/>
      </xdr:nvGrpSpPr>
      <xdr:grpSpPr>
        <a:xfrm>
          <a:off x="2600325" y="2867025"/>
          <a:ext cx="6096635" cy="2743200"/>
          <a:chOff x="4185" y="2010"/>
          <a:chExt cx="8294" cy="4320"/>
        </a:xfrm>
      </xdr:grpSpPr>
      <xdr:sp>
        <xdr:nvSpPr>
          <xdr:cNvPr id="10" name="Retângulo arredondado 9"/>
          <xdr:cNvSpPr/>
        </xdr:nvSpPr>
        <xdr:spPr>
          <a:xfrm>
            <a:off x="4185" y="2010"/>
            <a:ext cx="8295" cy="419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pt-BR" altLang="en-US" sz="1100"/>
          </a:p>
        </xdr:txBody>
      </xdr:sp>
      <xdr:graphicFrame>
        <xdr:nvGraphicFramePr>
          <xdr:cNvPr id="3" name="Gráfico 2"/>
          <xdr:cNvGraphicFramePr/>
        </xdr:nvGraphicFramePr>
        <xdr:xfrm>
          <a:off x="4665" y="2010"/>
          <a:ext cx="7600" cy="43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absolute">
    <xdr:from>
      <xdr:col>0</xdr:col>
      <xdr:colOff>79375</xdr:colOff>
      <xdr:row>3</xdr:row>
      <xdr:rowOff>168275</xdr:rowOff>
    </xdr:from>
    <xdr:to>
      <xdr:col>0</xdr:col>
      <xdr:colOff>1908175</xdr:colOff>
      <xdr:row>16</xdr:row>
      <xdr:rowOff>146050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75" y="10668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441325</xdr:colOff>
      <xdr:row>4</xdr:row>
      <xdr:rowOff>118110</xdr:rowOff>
    </xdr:from>
    <xdr:to>
      <xdr:col>8</xdr:col>
      <xdr:colOff>60960</xdr:colOff>
      <xdr:row>11</xdr:row>
      <xdr:rowOff>150495</xdr:rowOff>
    </xdr:to>
    <xdr:grpSp>
      <xdr:nvGrpSpPr>
        <xdr:cNvPr id="30" name="Grupo 29"/>
        <xdr:cNvGrpSpPr/>
      </xdr:nvGrpSpPr>
      <xdr:grpSpPr>
        <a:xfrm>
          <a:off x="2632075" y="1270635"/>
          <a:ext cx="4107180" cy="1365885"/>
          <a:chOff x="4127" y="1621"/>
          <a:chExt cx="6430" cy="2252"/>
        </a:xfrm>
      </xdr:grpSpPr>
      <xdr:grpSp>
        <xdr:nvGrpSpPr>
          <xdr:cNvPr id="28" name="Grupo 27"/>
          <xdr:cNvGrpSpPr/>
        </xdr:nvGrpSpPr>
        <xdr:grpSpPr>
          <a:xfrm rot="0">
            <a:off x="4146" y="1911"/>
            <a:ext cx="6389" cy="1963"/>
            <a:chOff x="4146" y="1912"/>
            <a:chExt cx="6393" cy="1966"/>
          </a:xfrm>
        </xdr:grpSpPr>
        <xdr:sp>
          <xdr:nvSpPr>
            <xdr:cNvPr id="13" name="Retângulo arredondado 12"/>
            <xdr:cNvSpPr/>
          </xdr:nvSpPr>
          <xdr:spPr>
            <a:xfrm>
              <a:off x="4146" y="1912"/>
              <a:ext cx="6393" cy="1635"/>
            </a:xfrm>
            <a:prstGeom prst="roundRect">
              <a:avLst>
                <a:gd name="adj" fmla="val 21299"/>
              </a:avLst>
            </a:prstGeom>
            <a:noFill/>
            <a:ln>
              <a:solidFill>
                <a:schemeClr val="accent6">
                  <a:lumMod val="60000"/>
                  <a:lumOff val="40000"/>
                </a:schemeClr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ysClr val="window" lastClr="FFFFFF"/>
                  </a:solidFill>
                </a14:hiddenFill>
              </a:ext>
            </a:extLst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altLang="en-US" sz="1100"/>
            </a:p>
          </xdr:txBody>
        </xdr:sp>
        <xdr:pic>
          <xdr:nvPicPr>
            <xdr:cNvPr id="16" name="Imagem 15"/>
            <xdr:cNvPicPr>
              <a:picLocks noChangeAspect="1"/>
            </xdr:cNvPicPr>
          </xdr:nvPicPr>
          <xdr:blipFill>
            <a:blip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634" y="2138"/>
              <a:ext cx="2039" cy="1740"/>
            </a:xfrm>
            <a:prstGeom prst="rect">
              <a:avLst/>
            </a:prstGeom>
          </xdr:spPr>
        </xdr:pic>
      </xdr:grpSp>
      <xdr:grpSp>
        <xdr:nvGrpSpPr>
          <xdr:cNvPr id="27" name="Grupo 26"/>
          <xdr:cNvGrpSpPr/>
        </xdr:nvGrpSpPr>
        <xdr:grpSpPr>
          <a:xfrm rot="0">
            <a:off x="4127" y="1621"/>
            <a:ext cx="6431" cy="731"/>
            <a:chOff x="4127" y="1922"/>
            <a:chExt cx="6434" cy="732"/>
          </a:xfrm>
        </xdr:grpSpPr>
        <xdr:sp>
          <xdr:nvSpPr>
            <xdr:cNvPr id="23" name="Arredondar Retângulo no Mesmo Canto Lateral 22"/>
            <xdr:cNvSpPr/>
          </xdr:nvSpPr>
          <xdr:spPr>
            <a:xfrm>
              <a:off x="4127" y="1922"/>
              <a:ext cx="6435" cy="733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p>
              <a:pPr algn="l"/>
              <a:endParaRPr lang="pt-BR" altLang="en-US" sz="1100"/>
            </a:p>
          </xdr:txBody>
        </xdr:sp>
        <xdr:sp>
          <xdr:nvSpPr>
            <xdr:cNvPr id="24" name="Caixa de Texto 23"/>
            <xdr:cNvSpPr txBox="1"/>
          </xdr:nvSpPr>
          <xdr:spPr>
            <a:xfrm>
              <a:off x="4749" y="2126"/>
              <a:ext cx="5258" cy="378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p>
              <a:pPr algn="ctr"/>
              <a:r>
                <a:rPr lang="pt-BR" altLang="en-US" sz="1100" b="1">
                  <a:solidFill>
                    <a:schemeClr val="bg1"/>
                  </a:solidFill>
                  <a:latin typeface="Segoe UI" panose="020B0502040204020203" charset="0"/>
                  <a:cs typeface="Segoe UI" panose="020B0502040204020203" charset="0"/>
                </a:rPr>
                <a:t>TOTAL SUBSCRIPTIONS EA PLAY SEASON PASS</a:t>
              </a:r>
              <a:endParaRPr lang="pt-BR" altLang="en-US" sz="1100" b="1">
                <a:solidFill>
                  <a:schemeClr val="bg1"/>
                </a:solidFill>
                <a:latin typeface="Segoe UI" panose="020B0502040204020203" charset="0"/>
                <a:cs typeface="Segoe UI" panose="020B0502040204020203" charset="0"/>
              </a:endParaRPr>
            </a:p>
          </xdr:txBody>
        </xdr:sp>
      </xdr:grpSp>
    </xdr:grpSp>
    <xdr:clientData/>
  </xdr:twoCellAnchor>
  <xdr:twoCellAnchor>
    <xdr:from>
      <xdr:col>9</xdr:col>
      <xdr:colOff>300990</xdr:colOff>
      <xdr:row>5</xdr:row>
      <xdr:rowOff>3175</xdr:rowOff>
    </xdr:from>
    <xdr:to>
      <xdr:col>15</xdr:col>
      <xdr:colOff>115570</xdr:colOff>
      <xdr:row>11</xdr:row>
      <xdr:rowOff>0</xdr:rowOff>
    </xdr:to>
    <xdr:grpSp>
      <xdr:nvGrpSpPr>
        <xdr:cNvPr id="52" name="Grupo 51"/>
        <xdr:cNvGrpSpPr/>
      </xdr:nvGrpSpPr>
      <xdr:grpSpPr>
        <a:xfrm>
          <a:off x="7588885" y="1317625"/>
          <a:ext cx="4224655" cy="1168400"/>
          <a:chOff x="12193" y="1617"/>
          <a:chExt cx="6426" cy="1960"/>
        </a:xfrm>
      </xdr:grpSpPr>
      <xdr:grpSp>
        <xdr:nvGrpSpPr>
          <xdr:cNvPr id="42" name="Grupo 41"/>
          <xdr:cNvGrpSpPr/>
        </xdr:nvGrpSpPr>
        <xdr:grpSpPr>
          <a:xfrm>
            <a:off x="12193" y="1617"/>
            <a:ext cx="6426" cy="1961"/>
            <a:chOff x="4127" y="1621"/>
            <a:chExt cx="6431" cy="1923"/>
          </a:xfrm>
        </xdr:grpSpPr>
        <xdr:sp>
          <xdr:nvSpPr>
            <xdr:cNvPr id="44" name="Retângulo arredondado 43"/>
            <xdr:cNvSpPr/>
          </xdr:nvSpPr>
          <xdr:spPr>
            <a:xfrm>
              <a:off x="4146" y="1911"/>
              <a:ext cx="6389" cy="1633"/>
            </a:xfrm>
            <a:prstGeom prst="roundRect">
              <a:avLst>
                <a:gd name="adj" fmla="val 21299"/>
              </a:avLst>
            </a:prstGeom>
            <a:noFill/>
            <a:ln>
              <a:solidFill>
                <a:schemeClr val="accent6">
                  <a:lumMod val="60000"/>
                  <a:lumOff val="40000"/>
                </a:schemeClr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ysClr val="window" lastClr="FFFFFF"/>
                  </a:solidFill>
                </a14:hiddenFill>
              </a:ext>
            </a:extLst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altLang="en-US" sz="1100"/>
            </a:p>
          </xdr:txBody>
        </xdr:sp>
        <xdr:grpSp>
          <xdr:nvGrpSpPr>
            <xdr:cNvPr id="46" name="Grupo 45"/>
            <xdr:cNvGrpSpPr/>
          </xdr:nvGrpSpPr>
          <xdr:grpSpPr>
            <a:xfrm rot="0">
              <a:off x="4127" y="1621"/>
              <a:ext cx="6431" cy="731"/>
              <a:chOff x="4127" y="1922"/>
              <a:chExt cx="6434" cy="732"/>
            </a:xfrm>
          </xdr:grpSpPr>
          <xdr:sp>
            <xdr:nvSpPr>
              <xdr:cNvPr id="47" name="Arredondar Retângulo no Mesmo Canto Lateral 46"/>
              <xdr:cNvSpPr/>
            </xdr:nvSpPr>
            <xdr:spPr>
              <a:xfrm>
                <a:off x="4127" y="1922"/>
                <a:ext cx="6435" cy="733"/>
              </a:xfrm>
              <a:prstGeom prst="round2SameRect">
                <a:avLst/>
              </a:prstGeom>
              <a:solidFill>
                <a:srgbClr val="2AE6B1"/>
              </a:solidFill>
              <a:ln>
                <a:noFill/>
              </a:ln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pt-BR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pt-BR" altLang="en-US" sz="1100"/>
              </a:p>
            </xdr:txBody>
          </xdr:sp>
          <xdr:sp>
            <xdr:nvSpPr>
              <xdr:cNvPr id="48" name="Caixa de Texto 47"/>
              <xdr:cNvSpPr txBox="1"/>
            </xdr:nvSpPr>
            <xdr:spPr>
              <a:xfrm>
                <a:off x="4749" y="2126"/>
                <a:ext cx="5258" cy="378"/>
              </a:xfrm>
              <a:prstGeom prst="rect">
                <a:avLst/>
              </a:prstGeom>
              <a:no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0">
                <a:noAutofit/>
              </a:bodyPr>
              <a:lstStyle>
                <a:defPPr>
                  <a:defRPr lang="pt-BR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pt-BR" altLang="en-US" sz="1100" b="1">
                    <a:solidFill>
                      <a:schemeClr val="bg1"/>
                    </a:solidFill>
                    <a:latin typeface="Segoe UI" panose="020B0502040204020203" charset="0"/>
                    <a:cs typeface="Segoe UI" panose="020B0502040204020203" charset="0"/>
                  </a:rPr>
                  <a:t>TOTAL SUBSCRIPTIONS EA PLAY SEASON PASS</a:t>
                </a:r>
                <a:endParaRPr lang="pt-BR" altLang="en-US" sz="1100" b="1">
                  <a:solidFill>
                    <a:schemeClr val="bg1"/>
                  </a:solidFill>
                  <a:latin typeface="Segoe UI" panose="020B0502040204020203" charset="0"/>
                  <a:cs typeface="Segoe UI" panose="020B0502040204020203" charset="0"/>
                </a:endParaRPr>
              </a:p>
            </xdr:txBody>
          </xdr:sp>
        </xdr:grpSp>
      </xdr:grpSp>
      <xdr:grpSp>
        <xdr:nvGrpSpPr>
          <xdr:cNvPr id="49" name="Agrupar 16"/>
          <xdr:cNvGrpSpPr/>
        </xdr:nvGrpSpPr>
        <xdr:grpSpPr>
          <a:xfrm>
            <a:off x="12905" y="2602"/>
            <a:ext cx="1891" cy="643"/>
            <a:chOff x="3495675" y="5400674"/>
            <a:chExt cx="1549476" cy="752476"/>
          </a:xfrm>
        </xdr:grpSpPr>
        <xdr:pic>
          <xdr:nvPicPr>
            <xdr:cNvPr id="50" name="Imagem 49"/>
            <xdr:cNvPicPr>
              <a:picLocks noChangeAspect="1"/>
            </xdr:cNvPicPr>
          </xdr:nvPicPr>
          <xdr:blipFill>
            <a:blip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51" name="Gráfico 13"/>
            <xdr:cNvPicPr>
              <a:picLocks noChangeAspect="1"/>
            </xdr:cNvPicPr>
          </xdr:nvPicPr>
          <xdr:blipFill>
            <a:blip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145415</xdr:colOff>
      <xdr:row>1</xdr:row>
      <xdr:rowOff>30480</xdr:rowOff>
    </xdr:from>
    <xdr:to>
      <xdr:col>0</xdr:col>
      <xdr:colOff>787400</xdr:colOff>
      <xdr:row>1</xdr:row>
      <xdr:rowOff>547370</xdr:rowOff>
    </xdr:to>
    <xdr:sp>
      <xdr:nvSpPr>
        <xdr:cNvPr id="53" name="Elipse 52"/>
        <xdr:cNvSpPr/>
      </xdr:nvSpPr>
      <xdr:spPr>
        <a:xfrm>
          <a:off x="145415" y="192405"/>
          <a:ext cx="641985" cy="516890"/>
        </a:xfrm>
        <a:prstGeom prst="ellipse">
          <a:avLst/>
        </a:prstGeom>
        <a:blipFill>
          <a:blip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 kern="1200"/>
        </a:p>
      </xdr:txBody>
    </xdr:sp>
    <xdr:clientData/>
  </xdr:twoCellAnchor>
  <xdr:twoCellAnchor>
    <xdr:from>
      <xdr:col>0</xdr:col>
      <xdr:colOff>144145</xdr:colOff>
      <xdr:row>2</xdr:row>
      <xdr:rowOff>48895</xdr:rowOff>
    </xdr:from>
    <xdr:to>
      <xdr:col>0</xdr:col>
      <xdr:colOff>1882775</xdr:colOff>
      <xdr:row>4</xdr:row>
      <xdr:rowOff>33020</xdr:rowOff>
    </xdr:to>
    <xdr:sp>
      <xdr:nvSpPr>
        <xdr:cNvPr id="54" name="Caixa de Texto 53"/>
        <xdr:cNvSpPr txBox="1"/>
      </xdr:nvSpPr>
      <xdr:spPr>
        <a:xfrm>
          <a:off x="144145" y="782320"/>
          <a:ext cx="1738630" cy="4032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pt-BR" altLang="en-US" sz="1100" b="1">
              <a:solidFill>
                <a:schemeClr val="bg1"/>
              </a:solidFill>
              <a:latin typeface="Segoe UI" panose="020B0502040204020203" charset="0"/>
              <a:cs typeface="Segoe UI" panose="020B0502040204020203" charset="0"/>
            </a:rPr>
            <a:t>&gt; Bem vinda, Liana!</a:t>
          </a:r>
          <a:endParaRPr lang="pt-BR" altLang="en-US" sz="1100" b="1">
            <a:solidFill>
              <a:schemeClr val="bg1"/>
            </a:solidFill>
            <a:latin typeface="Segoe UI" panose="020B0502040204020203" charset="0"/>
            <a:cs typeface="Segoe UI" panose="020B0502040204020203" charset="0"/>
          </a:endParaRPr>
        </a:p>
      </xdr:txBody>
    </xdr:sp>
    <xdr:clientData/>
  </xdr:twoCellAnchor>
  <xdr:twoCellAnchor editAs="absolute">
    <xdr:from>
      <xdr:col>3</xdr:col>
      <xdr:colOff>133985</xdr:colOff>
      <xdr:row>34</xdr:row>
      <xdr:rowOff>125730</xdr:rowOff>
    </xdr:from>
    <xdr:to>
      <xdr:col>8</xdr:col>
      <xdr:colOff>362585</xdr:colOff>
      <xdr:row>40</xdr:row>
      <xdr:rowOff>118110</xdr:rowOff>
    </xdr:to>
    <xdr:grpSp>
      <xdr:nvGrpSpPr>
        <xdr:cNvPr id="55" name="Grupo 54"/>
        <xdr:cNvGrpSpPr/>
      </xdr:nvGrpSpPr>
      <xdr:grpSpPr>
        <a:xfrm>
          <a:off x="2934335" y="6336030"/>
          <a:ext cx="4106545" cy="1163955"/>
          <a:chOff x="4127" y="1621"/>
          <a:chExt cx="6431" cy="1923"/>
        </a:xfrm>
      </xdr:grpSpPr>
      <xdr:sp>
        <xdr:nvSpPr>
          <xdr:cNvPr id="57" name="Retângulo arredondado 56"/>
          <xdr:cNvSpPr/>
        </xdr:nvSpPr>
        <xdr:spPr>
          <a:xfrm>
            <a:off x="4146" y="1911"/>
            <a:ext cx="6389" cy="1633"/>
          </a:xfrm>
          <a:prstGeom prst="roundRect">
            <a:avLst>
              <a:gd name="adj" fmla="val 21299"/>
            </a:avLst>
          </a:prstGeom>
          <a:noFill/>
          <a:ln>
            <a:solidFill>
              <a:schemeClr val="accent6">
                <a:lumMod val="60000"/>
                <a:lumOff val="40000"/>
              </a:schemeClr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ysClr val="window" lastClr="FFFFFF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altLang="en-US" sz="1100"/>
          </a:p>
        </xdr:txBody>
      </xdr:sp>
      <xdr:grpSp>
        <xdr:nvGrpSpPr>
          <xdr:cNvPr id="59" name="Grupo 58"/>
          <xdr:cNvGrpSpPr/>
        </xdr:nvGrpSpPr>
        <xdr:grpSpPr>
          <a:xfrm rot="0">
            <a:off x="4127" y="1621"/>
            <a:ext cx="6431" cy="731"/>
            <a:chOff x="4127" y="1922"/>
            <a:chExt cx="6434" cy="732"/>
          </a:xfrm>
        </xdr:grpSpPr>
        <xdr:sp>
          <xdr:nvSpPr>
            <xdr:cNvPr id="60" name="Arredondar Retângulo no Mesmo Canto Lateral 59"/>
            <xdr:cNvSpPr/>
          </xdr:nvSpPr>
          <xdr:spPr>
            <a:xfrm>
              <a:off x="4127" y="1922"/>
              <a:ext cx="6435" cy="733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altLang="en-US" sz="1100"/>
            </a:p>
          </xdr:txBody>
        </xdr:sp>
        <xdr:sp>
          <xdr:nvSpPr>
            <xdr:cNvPr id="61" name="Caixa de Texto 60"/>
            <xdr:cNvSpPr txBox="1"/>
          </xdr:nvSpPr>
          <xdr:spPr>
            <a:xfrm>
              <a:off x="4749" y="2126"/>
              <a:ext cx="5258" cy="378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lstStyle>
              <a:defPPr>
                <a:defRPr lang="pt-BR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100" b="1">
                  <a:solidFill>
                    <a:schemeClr val="bg1"/>
                  </a:solidFill>
                  <a:latin typeface="Segoe UI" panose="020B0502040204020203" charset="0"/>
                  <a:cs typeface="Segoe UI" panose="020B0502040204020203" charset="0"/>
                </a:rPr>
                <a:t>MONTH WITH THE MOST SALES</a:t>
              </a:r>
              <a:endParaRPr lang="pt-BR" altLang="en-US" sz="1100" b="1">
                <a:solidFill>
                  <a:schemeClr val="bg1"/>
                </a:solidFill>
                <a:latin typeface="Segoe UI" panose="020B0502040204020203" charset="0"/>
                <a:cs typeface="Segoe UI" panose="020B0502040204020203" charset="0"/>
              </a:endParaRPr>
            </a:p>
          </xdr:txBody>
        </xdr:sp>
      </xdr:grpSp>
    </xdr:grpSp>
    <xdr:clientData/>
  </xdr:twoCellAnchor>
  <xdr:twoCellAnchor editAs="absolute">
    <xdr:from>
      <xdr:col>9</xdr:col>
      <xdr:colOff>419735</xdr:colOff>
      <xdr:row>34</xdr:row>
      <xdr:rowOff>143510</xdr:rowOff>
    </xdr:from>
    <xdr:to>
      <xdr:col>15</xdr:col>
      <xdr:colOff>117475</xdr:colOff>
      <xdr:row>40</xdr:row>
      <xdr:rowOff>139065</xdr:rowOff>
    </xdr:to>
    <xdr:grpSp>
      <xdr:nvGrpSpPr>
        <xdr:cNvPr id="62" name="Grupo 61"/>
        <xdr:cNvGrpSpPr/>
      </xdr:nvGrpSpPr>
      <xdr:grpSpPr>
        <a:xfrm>
          <a:off x="7707630" y="6353810"/>
          <a:ext cx="4107815" cy="1167130"/>
          <a:chOff x="4127" y="1621"/>
          <a:chExt cx="6431" cy="1923"/>
        </a:xfrm>
      </xdr:grpSpPr>
      <xdr:sp>
        <xdr:nvSpPr>
          <xdr:cNvPr id="64" name="Retângulo arredondado 63"/>
          <xdr:cNvSpPr/>
        </xdr:nvSpPr>
        <xdr:spPr>
          <a:xfrm>
            <a:off x="4146" y="1911"/>
            <a:ext cx="6389" cy="1633"/>
          </a:xfrm>
          <a:prstGeom prst="roundRect">
            <a:avLst>
              <a:gd name="adj" fmla="val 21299"/>
            </a:avLst>
          </a:prstGeom>
          <a:noFill/>
          <a:ln>
            <a:solidFill>
              <a:schemeClr val="accent6">
                <a:lumMod val="60000"/>
                <a:lumOff val="40000"/>
              </a:schemeClr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ysClr val="window" lastClr="FFFFFF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altLang="en-US" sz="1100"/>
          </a:p>
        </xdr:txBody>
      </xdr:sp>
      <xdr:grpSp>
        <xdr:nvGrpSpPr>
          <xdr:cNvPr id="66" name="Grupo 65"/>
          <xdr:cNvGrpSpPr/>
        </xdr:nvGrpSpPr>
        <xdr:grpSpPr>
          <a:xfrm rot="0">
            <a:off x="4127" y="1621"/>
            <a:ext cx="6431" cy="731"/>
            <a:chOff x="4127" y="1922"/>
            <a:chExt cx="6434" cy="732"/>
          </a:xfrm>
        </xdr:grpSpPr>
        <xdr:sp>
          <xdr:nvSpPr>
            <xdr:cNvPr id="67" name="Arredondar Retângulo no Mesmo Canto Lateral 66"/>
            <xdr:cNvSpPr/>
          </xdr:nvSpPr>
          <xdr:spPr>
            <a:xfrm>
              <a:off x="4127" y="1922"/>
              <a:ext cx="6435" cy="733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pt-BR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altLang="en-US" sz="1100"/>
            </a:p>
          </xdr:txBody>
        </xdr:sp>
        <xdr:sp>
          <xdr:nvSpPr>
            <xdr:cNvPr id="68" name="Caixa de Texto 67"/>
            <xdr:cNvSpPr txBox="1"/>
          </xdr:nvSpPr>
          <xdr:spPr>
            <a:xfrm>
              <a:off x="4749" y="2126"/>
              <a:ext cx="5258" cy="378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lstStyle>
              <a:defPPr>
                <a:defRPr lang="pt-BR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altLang="en-US" sz="1100" b="1">
                  <a:solidFill>
                    <a:schemeClr val="bg1"/>
                  </a:solidFill>
                  <a:latin typeface="Segoe UI" panose="020B0502040204020203" charset="0"/>
                  <a:cs typeface="Segoe UI" panose="020B0502040204020203" charset="0"/>
                </a:rPr>
                <a:t>MONTH WITH THE LESS SALES</a:t>
              </a:r>
              <a:endParaRPr lang="pt-BR" altLang="en-US" sz="1100" b="1">
                <a:solidFill>
                  <a:schemeClr val="bg1"/>
                </a:solidFill>
                <a:latin typeface="Segoe UI" panose="020B0502040204020203" charset="0"/>
                <a:cs typeface="Segoe UI" panose="020B0502040204020203" charset="0"/>
              </a:endParaRPr>
            </a:p>
          </xdr:txBody>
        </xdr:sp>
      </xdr:grpSp>
    </xdr:grpSp>
    <xdr:clientData/>
  </xdr:twoCellAnchor>
  <xdr:twoCellAnchor>
    <xdr:from>
      <xdr:col>4</xdr:col>
      <xdr:colOff>39370</xdr:colOff>
      <xdr:row>37</xdr:row>
      <xdr:rowOff>125730</xdr:rowOff>
    </xdr:from>
    <xdr:to>
      <xdr:col>4</xdr:col>
      <xdr:colOff>377825</xdr:colOff>
      <xdr:row>40</xdr:row>
      <xdr:rowOff>52070</xdr:rowOff>
    </xdr:to>
    <xdr:sp>
      <xdr:nvSpPr>
        <xdr:cNvPr id="69" name="Seta para cima 68"/>
        <xdr:cNvSpPr/>
      </xdr:nvSpPr>
      <xdr:spPr>
        <a:xfrm>
          <a:off x="3449320" y="6821805"/>
          <a:ext cx="338455" cy="612140"/>
        </a:xfrm>
        <a:prstGeom prst="upArrow">
          <a:avLst/>
        </a:prstGeom>
        <a:solidFill>
          <a:srgbClr val="22C55E"/>
        </a:solidFill>
        <a:ln>
          <a:solidFill>
            <a:srgbClr val="2B8313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twoCellAnchor>
    <xdr:from>
      <xdr:col>10</xdr:col>
      <xdr:colOff>365760</xdr:colOff>
      <xdr:row>38</xdr:row>
      <xdr:rowOff>20320</xdr:rowOff>
    </xdr:from>
    <xdr:to>
      <xdr:col>11</xdr:col>
      <xdr:colOff>73025</xdr:colOff>
      <xdr:row>40</xdr:row>
      <xdr:rowOff>74295</xdr:rowOff>
    </xdr:to>
    <xdr:sp>
      <xdr:nvSpPr>
        <xdr:cNvPr id="70" name="Seta para baixo 69"/>
        <xdr:cNvSpPr/>
      </xdr:nvSpPr>
      <xdr:spPr>
        <a:xfrm>
          <a:off x="8263255" y="6878320"/>
          <a:ext cx="316865" cy="577850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64.7634490741" refreshedBy="USUARIO" recordCount="98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3" count="98">
        <n v="3231"/>
        <n v="3234"/>
        <n v="3237"/>
        <n v="3239"/>
        <n v="3242"/>
        <n v="3245"/>
        <n v="3248"/>
        <n v="3251"/>
        <n v="3254"/>
        <n v="3257"/>
        <n v="3260"/>
        <n v="3263"/>
        <n v="3267"/>
        <n v="3270"/>
        <n v="3273"/>
        <n v="3276"/>
        <n v="3279"/>
        <n v="3282"/>
        <n v="3285"/>
        <n v="3288"/>
        <n v="3291"/>
        <n v="3294"/>
        <n v="3297"/>
        <n v="3300"/>
        <n v="3303"/>
        <n v="3306"/>
        <n v="3309"/>
        <n v="3312"/>
        <n v="3315"/>
        <n v="3318"/>
        <n v="3321"/>
        <n v="3324"/>
        <n v="3327"/>
        <n v="3330"/>
        <n v="3333"/>
        <n v="3337"/>
        <n v="3340"/>
        <n v="3343"/>
        <n v="3346"/>
        <n v="3349"/>
        <n v="3352"/>
        <n v="3355"/>
        <n v="3358"/>
        <n v="3361"/>
        <n v="3364"/>
        <n v="3367"/>
        <n v="3370"/>
        <n v="3373"/>
        <n v="3376"/>
        <n v="3379"/>
        <n v="3382"/>
        <n v="3385"/>
        <n v="3388"/>
        <n v="3391"/>
        <n v="3394"/>
        <n v="3397"/>
        <n v="3400"/>
        <n v="3403"/>
        <n v="3407"/>
        <n v="3410"/>
        <n v="3413"/>
        <n v="3416"/>
        <n v="3419"/>
        <n v="3422"/>
        <n v="3425"/>
        <n v="3428"/>
        <n v="3431"/>
        <n v="3434"/>
        <n v="3437"/>
        <n v="3440"/>
        <n v="3443"/>
        <n v="3446"/>
        <n v="3449"/>
        <n v="3452"/>
        <n v="3455"/>
        <n v="3458"/>
        <n v="3461"/>
        <n v="3464"/>
        <n v="3467"/>
        <n v="3470"/>
        <n v="3473"/>
        <n v="3476"/>
        <n v="3479"/>
        <n v="3482"/>
        <n v="3485"/>
        <n v="3487"/>
        <n v="3490"/>
        <n v="3493"/>
        <n v="3496"/>
        <n v="3499"/>
        <n v="3502"/>
        <n v="3505"/>
        <n v="3508"/>
        <n v="3511"/>
        <n v="3514"/>
        <n v="3517"/>
        <n v="3520"/>
        <n v="3523"/>
      </sharedItems>
    </cacheField>
    <cacheField name="Name" numFmtId="0">
      <sharedItems count="95">
        <s v="João Silva"/>
        <s v="Ana Souza"/>
        <s v="Camila Ribeiro"/>
        <s v="Sofia Almeida"/>
        <s v="Marco Túlio"/>
        <s v="Fernanda Lima"/>
        <s v="Cesar Oliveira"/>
        <s v="Gabriela Santos"/>
        <s v="Joaquim Barbosa"/>
        <s v="Nicole Costa"/>
        <s v="Raquel Alves"/>
        <s v="Vinicius Lima"/>
        <s v="Bruno Cavalheiro"/>
        <s v="Eunice Lima"/>
        <s v="Hélio Castro"/>
        <s v="Kléber Oliveira"/>
        <s v="Nilo Peçanha"/>
        <s v="Quirino Gonçalves"/>
        <s v="Tiago Ramos"/>
        <s v="William Siqueira"/>
        <s v="Zacarias Alves"/>
        <s v="Carla Bruni"/>
        <s v="Fábio Nobre"/>
        <s v="Ivan Carvalho"/>
        <s v="Lucas Mendes"/>
        <s v="Otávio Barros"/>
        <s v="Raquel Novaes"/>
        <s v="Ulysses Guimarães"/>
        <s v="Ximena Rocha"/>
        <s v="Alan Teixeira"/>
        <s v="Daniela Moura"/>
        <s v="Geraldo Ribeiro"/>
        <s v="João Pedro Almeida"/>
        <s v="Marcelo Gouveia"/>
        <s v="Patrícia Alves"/>
        <s v="Ulisses Tavares"/>
        <s v="Xavier Nascimento"/>
        <s v="Amanda Lopes"/>
        <s v="Diogo Souza"/>
        <s v="João Marcelo"/>
        <s v="Nadia Costa"/>
        <s v="Quênia Barros"/>
        <s v="Tiago Mendes"/>
        <s v="Waldir Junior"/>
        <s v="Zacarias Nunes"/>
        <s v="Carlos Eduardo"/>
        <s v="Fabiano Gomes"/>
        <s v="Igor Martins"/>
        <s v="Luciana Santos"/>
        <s v="Oscar Ribeiro"/>
        <s v="Renata Machado"/>
        <s v="Ulysses Pereira"/>
        <s v="Xuxa Meneghel"/>
        <s v="André Lima"/>
        <s v="Guilherme Souza"/>
        <s v="João Carvalho"/>
        <s v="Nina Pacheco"/>
        <s v="Raquel Domingos"/>
        <s v="Ulysses Farias"/>
        <s v="Ximena Barros"/>
        <s v="André Lopes"/>
        <s v="Daniela Araújo"/>
        <s v="Gabriel Teixeira"/>
        <s v="Joana Silveira"/>
        <s v="Nicolas Borges"/>
        <s v="Raquel Andrade"/>
        <s v="Ursula Monteiro"/>
        <s v="Xavier Almeida"/>
        <s v="Amanda Costa"/>
        <s v="Diogo Martins"/>
        <s v="Gabriel Santos"/>
        <s v="Marcos Vinícius"/>
        <s v="Patrícia Leite"/>
        <s v="Sandra Gouveia"/>
        <s v="Vanessa Andrade"/>
        <s v="Yasmin Figueira"/>
        <s v="Bruno Santos"/>
        <s v="Elisa Neves"/>
        <s v="Hélio Costa"/>
        <s v="Klara Silva"/>
        <s v="Natália Soares"/>
        <s v="Quirino Neto"/>
        <s v="Sandro Almeida"/>
        <s v="Valéria Lima"/>
        <s v="Ygor Farias"/>
        <s v="Bruno Costa"/>
        <s v="Elisa Correia"/>
        <s v="Henrique Gonçalves"/>
        <s v="Klara Fonseca"/>
        <s v="Natália Castro"/>
        <s v="Quentin Nogueira"/>
        <s v="Tânia Machado"/>
        <s v="William Carvalho"/>
        <s v="Zacarias Duarte"/>
        <s v="Carla Siqueira"/>
      </sharedItems>
    </cacheField>
    <cacheField name="Plan" numFmtId="0">
      <sharedItems count="1">
        <s v="Ultimate"/>
      </sharedItems>
    </cacheField>
    <cacheField name="Start Date" numFmtId="58">
      <sharedItems containsSemiMixedTypes="0" containsString="0" containsNonDate="0" containsDate="1" minDate="2024-01-01T00:00:00" maxDate="2024-12-14T00:00:00" count="98">
        <d v="2024-01-01T00:00:00"/>
        <d v="2024-02-20T00:00:00"/>
        <d v="2024-03-03T00:00:00"/>
        <d v="2024-03-05T00:00:00"/>
        <d v="2024-03-08T00:00:00"/>
        <d v="2024-03-11T00:00:00"/>
        <d v="2024-03-14T00:00:00"/>
        <d v="2024-03-17T00:00:00"/>
        <d v="2024-03-20T00:00:00"/>
        <d v="2024-03-23T00:00:00"/>
        <d v="2024-03-26T00:00:00"/>
        <d v="2024-03-29T00:00:00"/>
        <d v="2024-04-02T00:00:00"/>
        <d v="2024-04-05T00:00:00"/>
        <d v="2024-04-08T00:00:00"/>
        <d v="2024-04-11T00:00:00"/>
        <d v="2024-04-14T00:00:00"/>
        <d v="2024-04-17T00:00:00"/>
        <d v="2024-04-20T00:00:00"/>
        <d v="2024-04-23T00:00:00"/>
        <d v="2024-04-26T00:00:00"/>
        <d v="2024-04-29T00:00:00"/>
        <d v="2024-05-02T00:00:00"/>
        <d v="2024-05-05T00:00:00"/>
        <d v="2024-05-08T00:00:00"/>
        <d v="2024-05-11T00:00:00"/>
        <d v="2024-05-14T00:00:00"/>
        <d v="2024-05-17T00:00:00"/>
        <d v="2024-05-20T00:00:00"/>
        <d v="2024-05-23T00:00:00"/>
        <d v="2024-05-26T00:00:00"/>
        <d v="2024-05-29T00:00:00"/>
        <d v="2024-06-01T00:00:00"/>
        <d v="2024-06-04T00:00:00"/>
        <d v="2024-06-07T00:00:00"/>
        <d v="2024-06-11T00:00:00"/>
        <d v="2024-06-14T00:00:00"/>
        <d v="2024-06-17T00:00:00"/>
        <d v="2024-06-20T00:00:00"/>
        <d v="2024-06-23T00:00:00"/>
        <d v="2024-06-26T00:00:00"/>
        <d v="2024-06-29T00:00:00"/>
        <d v="2024-07-02T00:00:00"/>
        <d v="2024-07-05T00:00:00"/>
        <d v="2024-07-08T00:00:00"/>
        <d v="2024-07-11T00:00:00"/>
        <d v="2024-07-14T00:00:00"/>
        <d v="2024-07-17T00:00:00"/>
        <d v="2024-07-20T00:00:00"/>
        <d v="2024-07-23T00:00:00"/>
        <d v="2024-07-26T00:00:00"/>
        <d v="2024-07-29T00:00:00"/>
        <d v="2024-08-01T00:00:00"/>
        <d v="2024-08-04T00:00:00"/>
        <d v="2024-08-07T00:00:00"/>
        <d v="2024-08-10T00:00:00"/>
        <d v="2024-08-13T00:00:00"/>
        <d v="2024-08-16T00:00:00"/>
        <d v="2024-08-20T00:00:00"/>
        <d v="2024-08-23T00:00:00"/>
        <d v="2024-08-26T00:00:00"/>
        <d v="2024-08-29T00:00:00"/>
        <d v="2024-09-01T00:00:00"/>
        <d v="2024-09-04T00:00:00"/>
        <d v="2024-09-07T00:00:00"/>
        <d v="2024-09-10T00:00:00"/>
        <d v="2024-09-13T00:00:00"/>
        <d v="2024-09-16T00:00:00"/>
        <d v="2024-09-19T00:00:00"/>
        <d v="2024-09-22T00:00:00"/>
        <d v="2024-09-25T00:00:00"/>
        <d v="2024-09-28T00:00:00"/>
        <d v="2024-10-01T00:00:00"/>
        <d v="2024-10-04T00:00:00"/>
        <d v="2024-10-07T00:00:00"/>
        <d v="2024-10-10T00:00:00"/>
        <d v="2024-10-13T00:00:00"/>
        <d v="2024-10-16T00:00:00"/>
        <d v="2024-10-19T00:00:00"/>
        <d v="2024-10-22T00:00:00"/>
        <d v="2024-10-25T00:00:00"/>
        <d v="2024-10-28T00:00:00"/>
        <d v="2024-10-31T00:00:00"/>
        <d v="2024-11-03T00:00:00"/>
        <d v="2024-11-06T00:00:00"/>
        <d v="2024-11-08T00:00:00"/>
        <d v="2024-11-11T00:00:00"/>
        <d v="2024-11-14T00:00:00"/>
        <d v="2024-11-17T00:00:00"/>
        <d v="2024-11-20T00:00:00"/>
        <d v="2024-11-23T00:00:00"/>
        <d v="2024-11-26T00:00:00"/>
        <d v="2024-11-29T00:00:00"/>
        <d v="2024-12-02T00:00:00"/>
        <d v="2024-12-05T00:00:00"/>
        <d v="2024-12-08T00:00:00"/>
        <d v="2024-12-11T00:00:00"/>
        <d v="2024-12-14T00:00:00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Auto Renewal" numFmtId="0">
      <sharedItems count="2">
        <s v="Yes"/>
        <s v="No"/>
      </sharedItems>
    </cacheField>
    <cacheField name="Subscription Price" numFmtId="177">
      <sharedItems containsSemiMixedTypes="0" containsString="0" containsNumber="1" containsInteger="1" minValue="15" maxValue="15" count="1">
        <n v="15"/>
      </sharedItems>
    </cacheField>
    <cacheField name="Subscription Type" numFmtId="0">
      <sharedItems count="3">
        <s v="Monthly"/>
        <s v="Quarterly"/>
        <s v="Annual"/>
      </sharedItems>
    </cacheField>
    <cacheField name="EA Play Season Pass" numFmtId="0">
      <sharedItems count="1">
        <s v="Yes"/>
      </sharedItems>
    </cacheField>
    <cacheField name="EA Play Season Pass_x000a_Price" numFmtId="177">
      <sharedItems containsSemiMixedTypes="0" containsString="0" containsNumber="1" containsInteger="1" minValue="30" maxValue="30" count="1">
        <n v="30"/>
      </sharedItems>
    </cacheField>
    <cacheField name="Minecraft Season Pass" numFmtId="0">
      <sharedItems count="1">
        <s v="Yes"/>
      </sharedItems>
    </cacheField>
    <cacheField name="Minecraft Season Pass Price" numFmtId="177">
      <sharedItems containsSemiMixedTypes="0" containsString="0" containsNumber="1" containsInteger="1" minValue="20" maxValue="20" count="1">
        <n v="20"/>
      </sharedItems>
    </cacheField>
    <cacheField name="Coupon Value" numFmtId="177">
      <sharedItems containsSemiMixedTypes="0" containsString="0" containsNumber="1" containsInteger="1" minValue="3" maxValue="20" count="7">
        <n v="5"/>
        <n v="3"/>
        <n v="10"/>
        <n v="20"/>
        <n v="8"/>
        <n v="7"/>
        <n v="15"/>
      </sharedItems>
    </cacheField>
    <cacheField name="Total Value" numFmtId="177">
      <sharedItems containsSemiMixedTypes="0" containsString="0" containsNumber="1" containsInteger="1" minValue="45" maxValue="62" count="7">
        <n v="60"/>
        <n v="62"/>
        <n v="55"/>
        <n v="45"/>
        <n v="57"/>
        <n v="58"/>
        <n v="5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64.7744097222" refreshedBy="USUARIO" recordCount="98">
  <cacheSource type="worksheet">
    <worksheetSource ref="A1:N99" sheet="Bases"/>
  </cacheSource>
  <cacheFields count="14">
    <cacheField name="Subscriber ID" numFmtId="0">
      <sharedItems containsSemiMixedTypes="0" containsString="0" containsNumber="1" containsInteger="1" minValue="3231" maxValue="3523" count="98">
        <n v="3231"/>
        <n v="3234"/>
        <n v="3237"/>
        <n v="3239"/>
        <n v="3242"/>
        <n v="3245"/>
        <n v="3248"/>
        <n v="3251"/>
        <n v="3254"/>
        <n v="3257"/>
        <n v="3260"/>
        <n v="3263"/>
        <n v="3267"/>
        <n v="3270"/>
        <n v="3273"/>
        <n v="3276"/>
        <n v="3279"/>
        <n v="3282"/>
        <n v="3285"/>
        <n v="3288"/>
        <n v="3291"/>
        <n v="3294"/>
        <n v="3297"/>
        <n v="3300"/>
        <n v="3303"/>
        <n v="3306"/>
        <n v="3309"/>
        <n v="3312"/>
        <n v="3315"/>
        <n v="3318"/>
        <n v="3321"/>
        <n v="3324"/>
        <n v="3327"/>
        <n v="3330"/>
        <n v="3333"/>
        <n v="3337"/>
        <n v="3340"/>
        <n v="3343"/>
        <n v="3346"/>
        <n v="3349"/>
        <n v="3352"/>
        <n v="3355"/>
        <n v="3358"/>
        <n v="3361"/>
        <n v="3364"/>
        <n v="3367"/>
        <n v="3370"/>
        <n v="3373"/>
        <n v="3376"/>
        <n v="3379"/>
        <n v="3382"/>
        <n v="3385"/>
        <n v="3388"/>
        <n v="3391"/>
        <n v="3394"/>
        <n v="3397"/>
        <n v="3400"/>
        <n v="3403"/>
        <n v="3407"/>
        <n v="3410"/>
        <n v="3413"/>
        <n v="3416"/>
        <n v="3419"/>
        <n v="3422"/>
        <n v="3425"/>
        <n v="3428"/>
        <n v="3431"/>
        <n v="3434"/>
        <n v="3437"/>
        <n v="3440"/>
        <n v="3443"/>
        <n v="3446"/>
        <n v="3449"/>
        <n v="3452"/>
        <n v="3455"/>
        <n v="3458"/>
        <n v="3461"/>
        <n v="3464"/>
        <n v="3467"/>
        <n v="3470"/>
        <n v="3473"/>
        <n v="3476"/>
        <n v="3479"/>
        <n v="3482"/>
        <n v="3485"/>
        <n v="3487"/>
        <n v="3490"/>
        <n v="3493"/>
        <n v="3496"/>
        <n v="3499"/>
        <n v="3502"/>
        <n v="3505"/>
        <n v="3508"/>
        <n v="3511"/>
        <n v="3514"/>
        <n v="3517"/>
        <n v="3520"/>
        <n v="3523"/>
      </sharedItems>
    </cacheField>
    <cacheField name="Name" numFmtId="0">
      <sharedItems count="95">
        <s v="João Silva"/>
        <s v="Ana Souza"/>
        <s v="Camila Ribeiro"/>
        <s v="Sofia Almeida"/>
        <s v="Marco Túlio"/>
        <s v="Fernanda Lima"/>
        <s v="Cesar Oliveira"/>
        <s v="Gabriela Santos"/>
        <s v="Joaquim Barbosa"/>
        <s v="Nicole Costa"/>
        <s v="Raquel Alves"/>
        <s v="Vinicius Lima"/>
        <s v="Bruno Cavalheiro"/>
        <s v="Eunice Lima"/>
        <s v="Hélio Castro"/>
        <s v="Kléber Oliveira"/>
        <s v="Nilo Peçanha"/>
        <s v="Quirino Gonçalves"/>
        <s v="Tiago Ramos"/>
        <s v="William Siqueira"/>
        <s v="Zacarias Alves"/>
        <s v="Carla Bruni"/>
        <s v="Fábio Nobre"/>
        <s v="Ivan Carvalho"/>
        <s v="Lucas Mendes"/>
        <s v="Otávio Barros"/>
        <s v="Raquel Novaes"/>
        <s v="Ulysses Guimarães"/>
        <s v="Ximena Rocha"/>
        <s v="Alan Teixeira"/>
        <s v="Daniela Moura"/>
        <s v="Geraldo Ribeiro"/>
        <s v="João Pedro Almeida"/>
        <s v="Marcelo Gouveia"/>
        <s v="Patrícia Alves"/>
        <s v="Ulisses Tavares"/>
        <s v="Xavier Nascimento"/>
        <s v="Amanda Lopes"/>
        <s v="Diogo Souza"/>
        <s v="João Marcelo"/>
        <s v="Nadia Costa"/>
        <s v="Quênia Barros"/>
        <s v="Tiago Mendes"/>
        <s v="Waldir Junior"/>
        <s v="Zacarias Nunes"/>
        <s v="Carlos Eduardo"/>
        <s v="Fabiano Gomes"/>
        <s v="Igor Martins"/>
        <s v="Luciana Santos"/>
        <s v="Oscar Ribeiro"/>
        <s v="Renata Machado"/>
        <s v="Ulysses Pereira"/>
        <s v="Xuxa Meneghel"/>
        <s v="André Lima"/>
        <s v="Guilherme Souza"/>
        <s v="João Carvalho"/>
        <s v="Nina Pacheco"/>
        <s v="Raquel Domingos"/>
        <s v="Ulysses Farias"/>
        <s v="Ximena Barros"/>
        <s v="André Lopes"/>
        <s v="Daniela Araújo"/>
        <s v="Gabriel Teixeira"/>
        <s v="Joana Silveira"/>
        <s v="Nicolas Borges"/>
        <s v="Raquel Andrade"/>
        <s v="Ursula Monteiro"/>
        <s v="Xavier Almeida"/>
        <s v="Amanda Costa"/>
        <s v="Diogo Martins"/>
        <s v="Gabriel Santos"/>
        <s v="Marcos Vinícius"/>
        <s v="Patrícia Leite"/>
        <s v="Sandra Gouveia"/>
        <s v="Vanessa Andrade"/>
        <s v="Yasmin Figueira"/>
        <s v="Bruno Santos"/>
        <s v="Elisa Neves"/>
        <s v="Hélio Costa"/>
        <s v="Klara Silva"/>
        <s v="Natália Soares"/>
        <s v="Quirino Neto"/>
        <s v="Sandro Almeida"/>
        <s v="Valéria Lima"/>
        <s v="Ygor Farias"/>
        <s v="Bruno Costa"/>
        <s v="Elisa Correia"/>
        <s v="Henrique Gonçalves"/>
        <s v="Klara Fonseca"/>
        <s v="Natália Castro"/>
        <s v="Quentin Nogueira"/>
        <s v="Tânia Machado"/>
        <s v="William Carvalho"/>
        <s v="Zacarias Duarte"/>
        <s v="Carla Siqueira"/>
      </sharedItems>
    </cacheField>
    <cacheField name="Plan" numFmtId="0">
      <sharedItems count="1">
        <s v="Ultimate"/>
      </sharedItems>
    </cacheField>
    <cacheField name="Start Date" numFmtId="58">
      <sharedItems containsSemiMixedTypes="0" containsString="0" containsNonDate="0" containsDate="1" minDate="2024-01-01T00:00:00" maxDate="2024-12-14T00:00:00" count="98">
        <d v="2024-01-01T00:00:00"/>
        <d v="2024-02-20T00:00:00"/>
        <d v="2024-03-03T00:00:00"/>
        <d v="2024-03-05T00:00:00"/>
        <d v="2024-03-08T00:00:00"/>
        <d v="2024-03-11T00:00:00"/>
        <d v="2024-03-14T00:00:00"/>
        <d v="2024-03-17T00:00:00"/>
        <d v="2024-03-20T00:00:00"/>
        <d v="2024-03-23T00:00:00"/>
        <d v="2024-03-26T00:00:00"/>
        <d v="2024-03-29T00:00:00"/>
        <d v="2024-04-02T00:00:00"/>
        <d v="2024-04-05T00:00:00"/>
        <d v="2024-04-08T00:00:00"/>
        <d v="2024-04-11T00:00:00"/>
        <d v="2024-04-14T00:00:00"/>
        <d v="2024-04-17T00:00:00"/>
        <d v="2024-04-20T00:00:00"/>
        <d v="2024-04-23T00:00:00"/>
        <d v="2024-04-26T00:00:00"/>
        <d v="2024-04-29T00:00:00"/>
        <d v="2024-05-02T00:00:00"/>
        <d v="2024-05-05T00:00:00"/>
        <d v="2024-05-08T00:00:00"/>
        <d v="2024-05-11T00:00:00"/>
        <d v="2024-05-14T00:00:00"/>
        <d v="2024-05-17T00:00:00"/>
        <d v="2024-05-20T00:00:00"/>
        <d v="2024-05-23T00:00:00"/>
        <d v="2024-05-26T00:00:00"/>
        <d v="2024-05-29T00:00:00"/>
        <d v="2024-06-01T00:00:00"/>
        <d v="2024-06-04T00:00:00"/>
        <d v="2024-06-07T00:00:00"/>
        <d v="2024-06-11T00:00:00"/>
        <d v="2024-06-14T00:00:00"/>
        <d v="2024-06-17T00:00:00"/>
        <d v="2024-06-20T00:00:00"/>
        <d v="2024-06-23T00:00:00"/>
        <d v="2024-06-26T00:00:00"/>
        <d v="2024-06-29T00:00:00"/>
        <d v="2024-07-02T00:00:00"/>
        <d v="2024-07-05T00:00:00"/>
        <d v="2024-07-08T00:00:00"/>
        <d v="2024-07-11T00:00:00"/>
        <d v="2024-07-14T00:00:00"/>
        <d v="2024-07-17T00:00:00"/>
        <d v="2024-07-20T00:00:00"/>
        <d v="2024-07-23T00:00:00"/>
        <d v="2024-07-26T00:00:00"/>
        <d v="2024-07-29T00:00:00"/>
        <d v="2024-08-01T00:00:00"/>
        <d v="2024-08-04T00:00:00"/>
        <d v="2024-08-07T00:00:00"/>
        <d v="2024-08-10T00:00:00"/>
        <d v="2024-08-13T00:00:00"/>
        <d v="2024-08-16T00:00:00"/>
        <d v="2024-08-20T00:00:00"/>
        <d v="2024-08-23T00:00:00"/>
        <d v="2024-08-26T00:00:00"/>
        <d v="2024-08-29T00:00:00"/>
        <d v="2024-09-01T00:00:00"/>
        <d v="2024-09-04T00:00:00"/>
        <d v="2024-09-07T00:00:00"/>
        <d v="2024-09-10T00:00:00"/>
        <d v="2024-09-13T00:00:00"/>
        <d v="2024-09-16T00:00:00"/>
        <d v="2024-09-19T00:00:00"/>
        <d v="2024-09-22T00:00:00"/>
        <d v="2024-09-25T00:00:00"/>
        <d v="2024-09-28T00:00:00"/>
        <d v="2024-10-01T00:00:00"/>
        <d v="2024-10-04T00:00:00"/>
        <d v="2024-10-07T00:00:00"/>
        <d v="2024-10-10T00:00:00"/>
        <d v="2024-10-13T00:00:00"/>
        <d v="2024-10-16T00:00:00"/>
        <d v="2024-10-19T00:00:00"/>
        <d v="2024-10-22T00:00:00"/>
        <d v="2024-10-25T00:00:00"/>
        <d v="2024-10-28T00:00:00"/>
        <d v="2024-10-31T00:00:00"/>
        <d v="2024-11-03T00:00:00"/>
        <d v="2024-11-06T00:00:00"/>
        <d v="2024-11-08T00:00:00"/>
        <d v="2024-11-11T00:00:00"/>
        <d v="2024-11-14T00:00:00"/>
        <d v="2024-11-17T00:00:00"/>
        <d v="2024-11-20T00:00:00"/>
        <d v="2024-11-23T00:00:00"/>
        <d v="2024-11-26T00:00:00"/>
        <d v="2024-11-29T00:00:00"/>
        <d v="2024-12-02T00:00:00"/>
        <d v="2024-12-05T00:00:00"/>
        <d v="2024-12-08T00:00:00"/>
        <d v="2024-12-11T00:00:00"/>
        <d v="2024-12-14T00:00:00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Auto Renewal" numFmtId="0">
      <sharedItems count="2">
        <s v="Yes"/>
        <s v="No"/>
      </sharedItems>
    </cacheField>
    <cacheField name="Subscription Price" numFmtId="177">
      <sharedItems containsSemiMixedTypes="0" containsString="0" containsNumber="1" containsInteger="1" minValue="15" maxValue="15" count="1">
        <n v="15"/>
      </sharedItems>
    </cacheField>
    <cacheField name="Subscription Type" numFmtId="0">
      <sharedItems count="3">
        <s v="Monthly"/>
        <s v="Quarterly"/>
        <s v="Annual"/>
      </sharedItems>
    </cacheField>
    <cacheField name="EA Play Season Pass" numFmtId="0">
      <sharedItems count="1">
        <s v="Yes"/>
      </sharedItems>
    </cacheField>
    <cacheField name="EA Play Season Pass_x000a_Price" numFmtId="177">
      <sharedItems containsSemiMixedTypes="0" containsString="0" containsNumber="1" containsInteger="1" minValue="30" maxValue="30" count="1">
        <n v="30"/>
      </sharedItems>
    </cacheField>
    <cacheField name="Minecraft Season Pass" numFmtId="0">
      <sharedItems count="1">
        <s v="Yes"/>
      </sharedItems>
    </cacheField>
    <cacheField name="Minecraft Season Pass Price" numFmtId="177">
      <sharedItems containsSemiMixedTypes="0" containsString="0" containsNumber="1" containsInteger="1" minValue="20" maxValue="20" count="1">
        <n v="20"/>
      </sharedItems>
    </cacheField>
    <cacheField name="Coupon Value" numFmtId="177">
      <sharedItems containsSemiMixedTypes="0" containsString="0" containsNumber="1" containsInteger="1" minValue="3" maxValue="20" count="7">
        <n v="5"/>
        <n v="3"/>
        <n v="10"/>
        <n v="20"/>
        <n v="8"/>
        <n v="7"/>
        <n v="15"/>
      </sharedItems>
    </cacheField>
    <cacheField name="Total Value" numFmtId="177">
      <sharedItems containsSemiMixedTypes="0" containsString="0" containsNumber="1" containsInteger="1" minValue="45" maxValue="62" count="7">
        <n v="60"/>
        <n v="62"/>
        <n v="55"/>
        <n v="45"/>
        <n v="57"/>
        <n v="58"/>
        <n v="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">
  <r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0"/>
    <x v="0"/>
    <x v="0"/>
    <x v="0"/>
    <x v="0"/>
    <x v="0"/>
    <x v="1"/>
    <x v="1"/>
  </r>
  <r>
    <x v="2"/>
    <x v="2"/>
    <x v="0"/>
    <x v="2"/>
    <x v="2"/>
    <x v="0"/>
    <x v="0"/>
    <x v="1"/>
    <x v="0"/>
    <x v="0"/>
    <x v="0"/>
    <x v="0"/>
    <x v="2"/>
    <x v="2"/>
  </r>
  <r>
    <x v="3"/>
    <x v="3"/>
    <x v="0"/>
    <x v="3"/>
    <x v="2"/>
    <x v="1"/>
    <x v="0"/>
    <x v="0"/>
    <x v="0"/>
    <x v="0"/>
    <x v="0"/>
    <x v="0"/>
    <x v="0"/>
    <x v="0"/>
  </r>
  <r>
    <x v="4"/>
    <x v="4"/>
    <x v="0"/>
    <x v="4"/>
    <x v="2"/>
    <x v="0"/>
    <x v="0"/>
    <x v="2"/>
    <x v="0"/>
    <x v="0"/>
    <x v="0"/>
    <x v="0"/>
    <x v="3"/>
    <x v="3"/>
  </r>
  <r>
    <x v="5"/>
    <x v="5"/>
    <x v="0"/>
    <x v="5"/>
    <x v="2"/>
    <x v="1"/>
    <x v="0"/>
    <x v="0"/>
    <x v="0"/>
    <x v="0"/>
    <x v="0"/>
    <x v="0"/>
    <x v="4"/>
    <x v="4"/>
  </r>
  <r>
    <x v="6"/>
    <x v="6"/>
    <x v="0"/>
    <x v="6"/>
    <x v="2"/>
    <x v="0"/>
    <x v="0"/>
    <x v="1"/>
    <x v="0"/>
    <x v="0"/>
    <x v="0"/>
    <x v="0"/>
    <x v="5"/>
    <x v="5"/>
  </r>
  <r>
    <x v="7"/>
    <x v="7"/>
    <x v="0"/>
    <x v="7"/>
    <x v="2"/>
    <x v="1"/>
    <x v="0"/>
    <x v="0"/>
    <x v="0"/>
    <x v="0"/>
    <x v="0"/>
    <x v="0"/>
    <x v="1"/>
    <x v="1"/>
  </r>
  <r>
    <x v="8"/>
    <x v="8"/>
    <x v="0"/>
    <x v="8"/>
    <x v="2"/>
    <x v="0"/>
    <x v="0"/>
    <x v="2"/>
    <x v="0"/>
    <x v="0"/>
    <x v="0"/>
    <x v="0"/>
    <x v="3"/>
    <x v="3"/>
  </r>
  <r>
    <x v="9"/>
    <x v="9"/>
    <x v="0"/>
    <x v="9"/>
    <x v="2"/>
    <x v="1"/>
    <x v="0"/>
    <x v="0"/>
    <x v="0"/>
    <x v="0"/>
    <x v="0"/>
    <x v="0"/>
    <x v="0"/>
    <x v="0"/>
  </r>
  <r>
    <x v="10"/>
    <x v="10"/>
    <x v="0"/>
    <x v="10"/>
    <x v="2"/>
    <x v="0"/>
    <x v="0"/>
    <x v="1"/>
    <x v="0"/>
    <x v="0"/>
    <x v="0"/>
    <x v="0"/>
    <x v="5"/>
    <x v="5"/>
  </r>
  <r>
    <x v="11"/>
    <x v="11"/>
    <x v="0"/>
    <x v="11"/>
    <x v="2"/>
    <x v="1"/>
    <x v="0"/>
    <x v="0"/>
    <x v="0"/>
    <x v="0"/>
    <x v="0"/>
    <x v="0"/>
    <x v="1"/>
    <x v="1"/>
  </r>
  <r>
    <x v="12"/>
    <x v="12"/>
    <x v="0"/>
    <x v="12"/>
    <x v="3"/>
    <x v="1"/>
    <x v="0"/>
    <x v="1"/>
    <x v="0"/>
    <x v="0"/>
    <x v="0"/>
    <x v="0"/>
    <x v="5"/>
    <x v="5"/>
  </r>
  <r>
    <x v="13"/>
    <x v="13"/>
    <x v="0"/>
    <x v="13"/>
    <x v="3"/>
    <x v="0"/>
    <x v="0"/>
    <x v="0"/>
    <x v="0"/>
    <x v="0"/>
    <x v="0"/>
    <x v="0"/>
    <x v="6"/>
    <x v="6"/>
  </r>
  <r>
    <x v="14"/>
    <x v="14"/>
    <x v="0"/>
    <x v="14"/>
    <x v="3"/>
    <x v="1"/>
    <x v="0"/>
    <x v="1"/>
    <x v="0"/>
    <x v="0"/>
    <x v="0"/>
    <x v="0"/>
    <x v="3"/>
    <x v="3"/>
  </r>
  <r>
    <x v="15"/>
    <x v="15"/>
    <x v="0"/>
    <x v="15"/>
    <x v="3"/>
    <x v="0"/>
    <x v="0"/>
    <x v="2"/>
    <x v="0"/>
    <x v="0"/>
    <x v="0"/>
    <x v="0"/>
    <x v="0"/>
    <x v="0"/>
  </r>
  <r>
    <x v="16"/>
    <x v="16"/>
    <x v="0"/>
    <x v="16"/>
    <x v="3"/>
    <x v="1"/>
    <x v="0"/>
    <x v="0"/>
    <x v="0"/>
    <x v="0"/>
    <x v="0"/>
    <x v="0"/>
    <x v="1"/>
    <x v="1"/>
  </r>
  <r>
    <x v="17"/>
    <x v="17"/>
    <x v="0"/>
    <x v="17"/>
    <x v="3"/>
    <x v="0"/>
    <x v="0"/>
    <x v="1"/>
    <x v="0"/>
    <x v="0"/>
    <x v="0"/>
    <x v="0"/>
    <x v="5"/>
    <x v="5"/>
  </r>
  <r>
    <x v="18"/>
    <x v="18"/>
    <x v="0"/>
    <x v="18"/>
    <x v="3"/>
    <x v="1"/>
    <x v="0"/>
    <x v="0"/>
    <x v="0"/>
    <x v="0"/>
    <x v="0"/>
    <x v="0"/>
    <x v="3"/>
    <x v="3"/>
  </r>
  <r>
    <x v="19"/>
    <x v="19"/>
    <x v="0"/>
    <x v="19"/>
    <x v="3"/>
    <x v="0"/>
    <x v="0"/>
    <x v="2"/>
    <x v="0"/>
    <x v="0"/>
    <x v="0"/>
    <x v="0"/>
    <x v="1"/>
    <x v="1"/>
  </r>
  <r>
    <x v="20"/>
    <x v="20"/>
    <x v="0"/>
    <x v="20"/>
    <x v="3"/>
    <x v="1"/>
    <x v="0"/>
    <x v="0"/>
    <x v="0"/>
    <x v="0"/>
    <x v="0"/>
    <x v="0"/>
    <x v="0"/>
    <x v="0"/>
  </r>
  <r>
    <x v="21"/>
    <x v="21"/>
    <x v="0"/>
    <x v="21"/>
    <x v="3"/>
    <x v="0"/>
    <x v="0"/>
    <x v="1"/>
    <x v="0"/>
    <x v="0"/>
    <x v="0"/>
    <x v="0"/>
    <x v="3"/>
    <x v="3"/>
  </r>
  <r>
    <x v="22"/>
    <x v="22"/>
    <x v="0"/>
    <x v="22"/>
    <x v="4"/>
    <x v="0"/>
    <x v="0"/>
    <x v="1"/>
    <x v="0"/>
    <x v="0"/>
    <x v="0"/>
    <x v="0"/>
    <x v="5"/>
    <x v="5"/>
  </r>
  <r>
    <x v="23"/>
    <x v="23"/>
    <x v="0"/>
    <x v="23"/>
    <x v="4"/>
    <x v="1"/>
    <x v="0"/>
    <x v="0"/>
    <x v="0"/>
    <x v="0"/>
    <x v="0"/>
    <x v="0"/>
    <x v="6"/>
    <x v="6"/>
  </r>
  <r>
    <x v="24"/>
    <x v="24"/>
    <x v="0"/>
    <x v="24"/>
    <x v="4"/>
    <x v="0"/>
    <x v="0"/>
    <x v="1"/>
    <x v="0"/>
    <x v="0"/>
    <x v="0"/>
    <x v="0"/>
    <x v="3"/>
    <x v="3"/>
  </r>
  <r>
    <x v="25"/>
    <x v="25"/>
    <x v="0"/>
    <x v="25"/>
    <x v="4"/>
    <x v="1"/>
    <x v="0"/>
    <x v="2"/>
    <x v="0"/>
    <x v="0"/>
    <x v="0"/>
    <x v="0"/>
    <x v="0"/>
    <x v="0"/>
  </r>
  <r>
    <x v="26"/>
    <x v="26"/>
    <x v="0"/>
    <x v="26"/>
    <x v="4"/>
    <x v="0"/>
    <x v="0"/>
    <x v="0"/>
    <x v="0"/>
    <x v="0"/>
    <x v="0"/>
    <x v="0"/>
    <x v="1"/>
    <x v="1"/>
  </r>
  <r>
    <x v="27"/>
    <x v="27"/>
    <x v="0"/>
    <x v="27"/>
    <x v="4"/>
    <x v="1"/>
    <x v="0"/>
    <x v="1"/>
    <x v="0"/>
    <x v="0"/>
    <x v="0"/>
    <x v="0"/>
    <x v="5"/>
    <x v="5"/>
  </r>
  <r>
    <x v="28"/>
    <x v="28"/>
    <x v="0"/>
    <x v="28"/>
    <x v="4"/>
    <x v="0"/>
    <x v="0"/>
    <x v="0"/>
    <x v="0"/>
    <x v="0"/>
    <x v="0"/>
    <x v="0"/>
    <x v="3"/>
    <x v="3"/>
  </r>
  <r>
    <x v="29"/>
    <x v="29"/>
    <x v="0"/>
    <x v="29"/>
    <x v="4"/>
    <x v="1"/>
    <x v="0"/>
    <x v="2"/>
    <x v="0"/>
    <x v="0"/>
    <x v="0"/>
    <x v="0"/>
    <x v="1"/>
    <x v="1"/>
  </r>
  <r>
    <x v="30"/>
    <x v="30"/>
    <x v="0"/>
    <x v="30"/>
    <x v="4"/>
    <x v="0"/>
    <x v="0"/>
    <x v="0"/>
    <x v="0"/>
    <x v="0"/>
    <x v="0"/>
    <x v="0"/>
    <x v="0"/>
    <x v="0"/>
  </r>
  <r>
    <x v="31"/>
    <x v="31"/>
    <x v="0"/>
    <x v="31"/>
    <x v="4"/>
    <x v="1"/>
    <x v="0"/>
    <x v="1"/>
    <x v="0"/>
    <x v="0"/>
    <x v="0"/>
    <x v="0"/>
    <x v="3"/>
    <x v="3"/>
  </r>
  <r>
    <x v="32"/>
    <x v="32"/>
    <x v="0"/>
    <x v="32"/>
    <x v="5"/>
    <x v="0"/>
    <x v="0"/>
    <x v="0"/>
    <x v="0"/>
    <x v="0"/>
    <x v="0"/>
    <x v="0"/>
    <x v="5"/>
    <x v="5"/>
  </r>
  <r>
    <x v="33"/>
    <x v="33"/>
    <x v="0"/>
    <x v="33"/>
    <x v="5"/>
    <x v="1"/>
    <x v="0"/>
    <x v="0"/>
    <x v="0"/>
    <x v="0"/>
    <x v="0"/>
    <x v="0"/>
    <x v="6"/>
    <x v="6"/>
  </r>
  <r>
    <x v="34"/>
    <x v="34"/>
    <x v="0"/>
    <x v="34"/>
    <x v="5"/>
    <x v="0"/>
    <x v="0"/>
    <x v="1"/>
    <x v="0"/>
    <x v="0"/>
    <x v="0"/>
    <x v="0"/>
    <x v="3"/>
    <x v="3"/>
  </r>
  <r>
    <x v="35"/>
    <x v="35"/>
    <x v="0"/>
    <x v="35"/>
    <x v="5"/>
    <x v="1"/>
    <x v="0"/>
    <x v="1"/>
    <x v="0"/>
    <x v="0"/>
    <x v="0"/>
    <x v="0"/>
    <x v="5"/>
    <x v="5"/>
  </r>
  <r>
    <x v="36"/>
    <x v="36"/>
    <x v="0"/>
    <x v="36"/>
    <x v="5"/>
    <x v="0"/>
    <x v="0"/>
    <x v="0"/>
    <x v="0"/>
    <x v="0"/>
    <x v="0"/>
    <x v="0"/>
    <x v="6"/>
    <x v="6"/>
  </r>
  <r>
    <x v="37"/>
    <x v="37"/>
    <x v="0"/>
    <x v="37"/>
    <x v="5"/>
    <x v="1"/>
    <x v="0"/>
    <x v="1"/>
    <x v="0"/>
    <x v="0"/>
    <x v="0"/>
    <x v="0"/>
    <x v="3"/>
    <x v="3"/>
  </r>
  <r>
    <x v="38"/>
    <x v="38"/>
    <x v="0"/>
    <x v="38"/>
    <x v="5"/>
    <x v="0"/>
    <x v="0"/>
    <x v="2"/>
    <x v="0"/>
    <x v="0"/>
    <x v="0"/>
    <x v="0"/>
    <x v="0"/>
    <x v="0"/>
  </r>
  <r>
    <x v="39"/>
    <x v="31"/>
    <x v="0"/>
    <x v="39"/>
    <x v="5"/>
    <x v="1"/>
    <x v="0"/>
    <x v="0"/>
    <x v="0"/>
    <x v="0"/>
    <x v="0"/>
    <x v="0"/>
    <x v="1"/>
    <x v="1"/>
  </r>
  <r>
    <x v="40"/>
    <x v="39"/>
    <x v="0"/>
    <x v="40"/>
    <x v="5"/>
    <x v="0"/>
    <x v="0"/>
    <x v="1"/>
    <x v="0"/>
    <x v="0"/>
    <x v="0"/>
    <x v="0"/>
    <x v="5"/>
    <x v="5"/>
  </r>
  <r>
    <x v="41"/>
    <x v="40"/>
    <x v="0"/>
    <x v="41"/>
    <x v="5"/>
    <x v="1"/>
    <x v="0"/>
    <x v="0"/>
    <x v="0"/>
    <x v="0"/>
    <x v="0"/>
    <x v="0"/>
    <x v="3"/>
    <x v="3"/>
  </r>
  <r>
    <x v="42"/>
    <x v="41"/>
    <x v="0"/>
    <x v="42"/>
    <x v="6"/>
    <x v="0"/>
    <x v="0"/>
    <x v="2"/>
    <x v="0"/>
    <x v="0"/>
    <x v="0"/>
    <x v="0"/>
    <x v="1"/>
    <x v="1"/>
  </r>
  <r>
    <x v="43"/>
    <x v="42"/>
    <x v="0"/>
    <x v="43"/>
    <x v="6"/>
    <x v="1"/>
    <x v="0"/>
    <x v="0"/>
    <x v="0"/>
    <x v="0"/>
    <x v="0"/>
    <x v="0"/>
    <x v="6"/>
    <x v="6"/>
  </r>
  <r>
    <x v="44"/>
    <x v="43"/>
    <x v="0"/>
    <x v="44"/>
    <x v="6"/>
    <x v="0"/>
    <x v="0"/>
    <x v="1"/>
    <x v="0"/>
    <x v="0"/>
    <x v="0"/>
    <x v="0"/>
    <x v="5"/>
    <x v="5"/>
  </r>
  <r>
    <x v="45"/>
    <x v="44"/>
    <x v="0"/>
    <x v="45"/>
    <x v="6"/>
    <x v="1"/>
    <x v="0"/>
    <x v="1"/>
    <x v="0"/>
    <x v="0"/>
    <x v="0"/>
    <x v="0"/>
    <x v="5"/>
    <x v="5"/>
  </r>
  <r>
    <x v="46"/>
    <x v="45"/>
    <x v="0"/>
    <x v="46"/>
    <x v="6"/>
    <x v="0"/>
    <x v="0"/>
    <x v="0"/>
    <x v="0"/>
    <x v="0"/>
    <x v="0"/>
    <x v="0"/>
    <x v="6"/>
    <x v="6"/>
  </r>
  <r>
    <x v="47"/>
    <x v="46"/>
    <x v="0"/>
    <x v="47"/>
    <x v="6"/>
    <x v="1"/>
    <x v="0"/>
    <x v="1"/>
    <x v="0"/>
    <x v="0"/>
    <x v="0"/>
    <x v="0"/>
    <x v="3"/>
    <x v="3"/>
  </r>
  <r>
    <x v="48"/>
    <x v="47"/>
    <x v="0"/>
    <x v="48"/>
    <x v="6"/>
    <x v="0"/>
    <x v="0"/>
    <x v="2"/>
    <x v="0"/>
    <x v="0"/>
    <x v="0"/>
    <x v="0"/>
    <x v="0"/>
    <x v="0"/>
  </r>
  <r>
    <x v="49"/>
    <x v="48"/>
    <x v="0"/>
    <x v="49"/>
    <x v="6"/>
    <x v="1"/>
    <x v="0"/>
    <x v="0"/>
    <x v="0"/>
    <x v="0"/>
    <x v="0"/>
    <x v="0"/>
    <x v="1"/>
    <x v="1"/>
  </r>
  <r>
    <x v="50"/>
    <x v="49"/>
    <x v="0"/>
    <x v="50"/>
    <x v="6"/>
    <x v="0"/>
    <x v="0"/>
    <x v="1"/>
    <x v="0"/>
    <x v="0"/>
    <x v="0"/>
    <x v="0"/>
    <x v="5"/>
    <x v="5"/>
  </r>
  <r>
    <x v="51"/>
    <x v="50"/>
    <x v="0"/>
    <x v="51"/>
    <x v="6"/>
    <x v="1"/>
    <x v="0"/>
    <x v="0"/>
    <x v="0"/>
    <x v="0"/>
    <x v="0"/>
    <x v="0"/>
    <x v="3"/>
    <x v="3"/>
  </r>
  <r>
    <x v="52"/>
    <x v="51"/>
    <x v="0"/>
    <x v="52"/>
    <x v="7"/>
    <x v="0"/>
    <x v="0"/>
    <x v="2"/>
    <x v="0"/>
    <x v="0"/>
    <x v="0"/>
    <x v="0"/>
    <x v="1"/>
    <x v="1"/>
  </r>
  <r>
    <x v="53"/>
    <x v="52"/>
    <x v="0"/>
    <x v="53"/>
    <x v="7"/>
    <x v="1"/>
    <x v="0"/>
    <x v="0"/>
    <x v="0"/>
    <x v="0"/>
    <x v="0"/>
    <x v="0"/>
    <x v="6"/>
    <x v="6"/>
  </r>
  <r>
    <x v="54"/>
    <x v="53"/>
    <x v="0"/>
    <x v="54"/>
    <x v="7"/>
    <x v="0"/>
    <x v="0"/>
    <x v="1"/>
    <x v="0"/>
    <x v="0"/>
    <x v="0"/>
    <x v="0"/>
    <x v="5"/>
    <x v="5"/>
  </r>
  <r>
    <x v="55"/>
    <x v="30"/>
    <x v="0"/>
    <x v="55"/>
    <x v="7"/>
    <x v="1"/>
    <x v="0"/>
    <x v="0"/>
    <x v="0"/>
    <x v="0"/>
    <x v="0"/>
    <x v="0"/>
    <x v="3"/>
    <x v="3"/>
  </r>
  <r>
    <x v="56"/>
    <x v="54"/>
    <x v="0"/>
    <x v="56"/>
    <x v="7"/>
    <x v="0"/>
    <x v="0"/>
    <x v="2"/>
    <x v="0"/>
    <x v="0"/>
    <x v="0"/>
    <x v="0"/>
    <x v="0"/>
    <x v="0"/>
  </r>
  <r>
    <x v="57"/>
    <x v="55"/>
    <x v="0"/>
    <x v="57"/>
    <x v="7"/>
    <x v="1"/>
    <x v="0"/>
    <x v="0"/>
    <x v="0"/>
    <x v="0"/>
    <x v="0"/>
    <x v="0"/>
    <x v="1"/>
    <x v="1"/>
  </r>
  <r>
    <x v="58"/>
    <x v="56"/>
    <x v="0"/>
    <x v="58"/>
    <x v="7"/>
    <x v="1"/>
    <x v="0"/>
    <x v="1"/>
    <x v="0"/>
    <x v="0"/>
    <x v="0"/>
    <x v="0"/>
    <x v="5"/>
    <x v="5"/>
  </r>
  <r>
    <x v="59"/>
    <x v="57"/>
    <x v="0"/>
    <x v="59"/>
    <x v="7"/>
    <x v="0"/>
    <x v="0"/>
    <x v="0"/>
    <x v="0"/>
    <x v="0"/>
    <x v="0"/>
    <x v="0"/>
    <x v="6"/>
    <x v="6"/>
  </r>
  <r>
    <x v="60"/>
    <x v="58"/>
    <x v="0"/>
    <x v="60"/>
    <x v="7"/>
    <x v="1"/>
    <x v="0"/>
    <x v="1"/>
    <x v="0"/>
    <x v="0"/>
    <x v="0"/>
    <x v="0"/>
    <x v="3"/>
    <x v="3"/>
  </r>
  <r>
    <x v="61"/>
    <x v="59"/>
    <x v="0"/>
    <x v="61"/>
    <x v="7"/>
    <x v="0"/>
    <x v="0"/>
    <x v="2"/>
    <x v="0"/>
    <x v="0"/>
    <x v="0"/>
    <x v="0"/>
    <x v="0"/>
    <x v="0"/>
  </r>
  <r>
    <x v="62"/>
    <x v="60"/>
    <x v="0"/>
    <x v="62"/>
    <x v="8"/>
    <x v="1"/>
    <x v="0"/>
    <x v="0"/>
    <x v="0"/>
    <x v="0"/>
    <x v="0"/>
    <x v="0"/>
    <x v="1"/>
    <x v="1"/>
  </r>
  <r>
    <x v="63"/>
    <x v="61"/>
    <x v="0"/>
    <x v="63"/>
    <x v="8"/>
    <x v="0"/>
    <x v="0"/>
    <x v="1"/>
    <x v="0"/>
    <x v="0"/>
    <x v="0"/>
    <x v="0"/>
    <x v="5"/>
    <x v="5"/>
  </r>
  <r>
    <x v="64"/>
    <x v="62"/>
    <x v="0"/>
    <x v="64"/>
    <x v="8"/>
    <x v="1"/>
    <x v="0"/>
    <x v="0"/>
    <x v="0"/>
    <x v="0"/>
    <x v="0"/>
    <x v="0"/>
    <x v="3"/>
    <x v="3"/>
  </r>
  <r>
    <x v="65"/>
    <x v="63"/>
    <x v="0"/>
    <x v="65"/>
    <x v="8"/>
    <x v="0"/>
    <x v="0"/>
    <x v="2"/>
    <x v="0"/>
    <x v="0"/>
    <x v="0"/>
    <x v="0"/>
    <x v="1"/>
    <x v="1"/>
  </r>
  <r>
    <x v="66"/>
    <x v="64"/>
    <x v="0"/>
    <x v="66"/>
    <x v="8"/>
    <x v="1"/>
    <x v="0"/>
    <x v="0"/>
    <x v="0"/>
    <x v="0"/>
    <x v="0"/>
    <x v="0"/>
    <x v="6"/>
    <x v="6"/>
  </r>
  <r>
    <x v="67"/>
    <x v="65"/>
    <x v="0"/>
    <x v="67"/>
    <x v="8"/>
    <x v="0"/>
    <x v="0"/>
    <x v="1"/>
    <x v="0"/>
    <x v="0"/>
    <x v="0"/>
    <x v="0"/>
    <x v="5"/>
    <x v="5"/>
  </r>
  <r>
    <x v="68"/>
    <x v="66"/>
    <x v="0"/>
    <x v="68"/>
    <x v="8"/>
    <x v="1"/>
    <x v="0"/>
    <x v="1"/>
    <x v="0"/>
    <x v="0"/>
    <x v="0"/>
    <x v="0"/>
    <x v="5"/>
    <x v="5"/>
  </r>
  <r>
    <x v="69"/>
    <x v="67"/>
    <x v="0"/>
    <x v="69"/>
    <x v="8"/>
    <x v="0"/>
    <x v="0"/>
    <x v="0"/>
    <x v="0"/>
    <x v="0"/>
    <x v="0"/>
    <x v="0"/>
    <x v="6"/>
    <x v="6"/>
  </r>
  <r>
    <x v="70"/>
    <x v="68"/>
    <x v="0"/>
    <x v="70"/>
    <x v="8"/>
    <x v="1"/>
    <x v="0"/>
    <x v="1"/>
    <x v="0"/>
    <x v="0"/>
    <x v="0"/>
    <x v="0"/>
    <x v="3"/>
    <x v="3"/>
  </r>
  <r>
    <x v="71"/>
    <x v="69"/>
    <x v="0"/>
    <x v="71"/>
    <x v="8"/>
    <x v="0"/>
    <x v="0"/>
    <x v="2"/>
    <x v="0"/>
    <x v="0"/>
    <x v="0"/>
    <x v="0"/>
    <x v="0"/>
    <x v="0"/>
  </r>
  <r>
    <x v="72"/>
    <x v="70"/>
    <x v="0"/>
    <x v="72"/>
    <x v="9"/>
    <x v="1"/>
    <x v="0"/>
    <x v="0"/>
    <x v="0"/>
    <x v="0"/>
    <x v="0"/>
    <x v="0"/>
    <x v="1"/>
    <x v="1"/>
  </r>
  <r>
    <x v="73"/>
    <x v="63"/>
    <x v="0"/>
    <x v="73"/>
    <x v="9"/>
    <x v="0"/>
    <x v="0"/>
    <x v="1"/>
    <x v="0"/>
    <x v="0"/>
    <x v="0"/>
    <x v="0"/>
    <x v="5"/>
    <x v="5"/>
  </r>
  <r>
    <x v="74"/>
    <x v="71"/>
    <x v="0"/>
    <x v="74"/>
    <x v="9"/>
    <x v="1"/>
    <x v="0"/>
    <x v="0"/>
    <x v="0"/>
    <x v="0"/>
    <x v="0"/>
    <x v="0"/>
    <x v="3"/>
    <x v="3"/>
  </r>
  <r>
    <x v="75"/>
    <x v="72"/>
    <x v="0"/>
    <x v="75"/>
    <x v="9"/>
    <x v="0"/>
    <x v="0"/>
    <x v="2"/>
    <x v="0"/>
    <x v="0"/>
    <x v="0"/>
    <x v="0"/>
    <x v="1"/>
    <x v="1"/>
  </r>
  <r>
    <x v="76"/>
    <x v="73"/>
    <x v="0"/>
    <x v="76"/>
    <x v="9"/>
    <x v="1"/>
    <x v="0"/>
    <x v="0"/>
    <x v="0"/>
    <x v="0"/>
    <x v="0"/>
    <x v="0"/>
    <x v="6"/>
    <x v="6"/>
  </r>
  <r>
    <x v="77"/>
    <x v="74"/>
    <x v="0"/>
    <x v="77"/>
    <x v="9"/>
    <x v="0"/>
    <x v="0"/>
    <x v="1"/>
    <x v="0"/>
    <x v="0"/>
    <x v="0"/>
    <x v="0"/>
    <x v="5"/>
    <x v="5"/>
  </r>
  <r>
    <x v="78"/>
    <x v="75"/>
    <x v="0"/>
    <x v="78"/>
    <x v="9"/>
    <x v="1"/>
    <x v="0"/>
    <x v="0"/>
    <x v="0"/>
    <x v="0"/>
    <x v="0"/>
    <x v="0"/>
    <x v="6"/>
    <x v="6"/>
  </r>
  <r>
    <x v="79"/>
    <x v="76"/>
    <x v="0"/>
    <x v="79"/>
    <x v="9"/>
    <x v="0"/>
    <x v="0"/>
    <x v="2"/>
    <x v="0"/>
    <x v="0"/>
    <x v="0"/>
    <x v="0"/>
    <x v="0"/>
    <x v="0"/>
  </r>
  <r>
    <x v="80"/>
    <x v="77"/>
    <x v="0"/>
    <x v="80"/>
    <x v="9"/>
    <x v="1"/>
    <x v="0"/>
    <x v="0"/>
    <x v="0"/>
    <x v="0"/>
    <x v="0"/>
    <x v="0"/>
    <x v="1"/>
    <x v="1"/>
  </r>
  <r>
    <x v="81"/>
    <x v="78"/>
    <x v="0"/>
    <x v="81"/>
    <x v="9"/>
    <x v="0"/>
    <x v="0"/>
    <x v="1"/>
    <x v="0"/>
    <x v="0"/>
    <x v="0"/>
    <x v="0"/>
    <x v="5"/>
    <x v="5"/>
  </r>
  <r>
    <x v="82"/>
    <x v="79"/>
    <x v="0"/>
    <x v="82"/>
    <x v="9"/>
    <x v="1"/>
    <x v="0"/>
    <x v="0"/>
    <x v="0"/>
    <x v="0"/>
    <x v="0"/>
    <x v="0"/>
    <x v="3"/>
    <x v="3"/>
  </r>
  <r>
    <x v="83"/>
    <x v="80"/>
    <x v="0"/>
    <x v="83"/>
    <x v="10"/>
    <x v="0"/>
    <x v="0"/>
    <x v="2"/>
    <x v="0"/>
    <x v="0"/>
    <x v="0"/>
    <x v="0"/>
    <x v="1"/>
    <x v="1"/>
  </r>
  <r>
    <x v="84"/>
    <x v="81"/>
    <x v="0"/>
    <x v="84"/>
    <x v="10"/>
    <x v="1"/>
    <x v="0"/>
    <x v="0"/>
    <x v="0"/>
    <x v="0"/>
    <x v="0"/>
    <x v="0"/>
    <x v="6"/>
    <x v="6"/>
  </r>
  <r>
    <x v="85"/>
    <x v="82"/>
    <x v="0"/>
    <x v="85"/>
    <x v="10"/>
    <x v="1"/>
    <x v="0"/>
    <x v="1"/>
    <x v="0"/>
    <x v="0"/>
    <x v="0"/>
    <x v="0"/>
    <x v="5"/>
    <x v="5"/>
  </r>
  <r>
    <x v="86"/>
    <x v="83"/>
    <x v="0"/>
    <x v="86"/>
    <x v="10"/>
    <x v="0"/>
    <x v="0"/>
    <x v="0"/>
    <x v="0"/>
    <x v="0"/>
    <x v="0"/>
    <x v="0"/>
    <x v="6"/>
    <x v="6"/>
  </r>
  <r>
    <x v="87"/>
    <x v="84"/>
    <x v="0"/>
    <x v="87"/>
    <x v="10"/>
    <x v="1"/>
    <x v="0"/>
    <x v="1"/>
    <x v="0"/>
    <x v="0"/>
    <x v="0"/>
    <x v="0"/>
    <x v="3"/>
    <x v="3"/>
  </r>
  <r>
    <x v="88"/>
    <x v="85"/>
    <x v="0"/>
    <x v="88"/>
    <x v="10"/>
    <x v="0"/>
    <x v="0"/>
    <x v="2"/>
    <x v="0"/>
    <x v="0"/>
    <x v="0"/>
    <x v="0"/>
    <x v="0"/>
    <x v="0"/>
  </r>
  <r>
    <x v="89"/>
    <x v="86"/>
    <x v="0"/>
    <x v="89"/>
    <x v="10"/>
    <x v="1"/>
    <x v="0"/>
    <x v="0"/>
    <x v="0"/>
    <x v="0"/>
    <x v="0"/>
    <x v="0"/>
    <x v="1"/>
    <x v="1"/>
  </r>
  <r>
    <x v="90"/>
    <x v="87"/>
    <x v="0"/>
    <x v="90"/>
    <x v="10"/>
    <x v="0"/>
    <x v="0"/>
    <x v="1"/>
    <x v="0"/>
    <x v="0"/>
    <x v="0"/>
    <x v="0"/>
    <x v="5"/>
    <x v="5"/>
  </r>
  <r>
    <x v="91"/>
    <x v="88"/>
    <x v="0"/>
    <x v="91"/>
    <x v="10"/>
    <x v="1"/>
    <x v="0"/>
    <x v="0"/>
    <x v="0"/>
    <x v="0"/>
    <x v="0"/>
    <x v="0"/>
    <x v="3"/>
    <x v="3"/>
  </r>
  <r>
    <x v="92"/>
    <x v="89"/>
    <x v="0"/>
    <x v="92"/>
    <x v="10"/>
    <x v="0"/>
    <x v="0"/>
    <x v="2"/>
    <x v="0"/>
    <x v="0"/>
    <x v="0"/>
    <x v="0"/>
    <x v="1"/>
    <x v="1"/>
  </r>
  <r>
    <x v="93"/>
    <x v="90"/>
    <x v="0"/>
    <x v="93"/>
    <x v="11"/>
    <x v="1"/>
    <x v="0"/>
    <x v="0"/>
    <x v="0"/>
    <x v="0"/>
    <x v="0"/>
    <x v="0"/>
    <x v="6"/>
    <x v="6"/>
  </r>
  <r>
    <x v="94"/>
    <x v="91"/>
    <x v="0"/>
    <x v="94"/>
    <x v="11"/>
    <x v="0"/>
    <x v="0"/>
    <x v="1"/>
    <x v="0"/>
    <x v="0"/>
    <x v="0"/>
    <x v="0"/>
    <x v="5"/>
    <x v="5"/>
  </r>
  <r>
    <x v="95"/>
    <x v="92"/>
    <x v="0"/>
    <x v="95"/>
    <x v="11"/>
    <x v="1"/>
    <x v="0"/>
    <x v="0"/>
    <x v="0"/>
    <x v="0"/>
    <x v="0"/>
    <x v="0"/>
    <x v="3"/>
    <x v="3"/>
  </r>
  <r>
    <x v="96"/>
    <x v="93"/>
    <x v="0"/>
    <x v="96"/>
    <x v="11"/>
    <x v="0"/>
    <x v="0"/>
    <x v="2"/>
    <x v="0"/>
    <x v="0"/>
    <x v="0"/>
    <x v="0"/>
    <x v="0"/>
    <x v="0"/>
  </r>
  <r>
    <x v="97"/>
    <x v="94"/>
    <x v="0"/>
    <x v="97"/>
    <x v="11"/>
    <x v="1"/>
    <x v="0"/>
    <x v="0"/>
    <x v="0"/>
    <x v="0"/>
    <x v="0"/>
    <x v="0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8">
  <r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0"/>
    <x v="0"/>
    <x v="0"/>
    <x v="0"/>
    <x v="0"/>
    <x v="0"/>
    <x v="1"/>
    <x v="1"/>
  </r>
  <r>
    <x v="2"/>
    <x v="2"/>
    <x v="0"/>
    <x v="2"/>
    <x v="2"/>
    <x v="0"/>
    <x v="0"/>
    <x v="1"/>
    <x v="0"/>
    <x v="0"/>
    <x v="0"/>
    <x v="0"/>
    <x v="2"/>
    <x v="2"/>
  </r>
  <r>
    <x v="3"/>
    <x v="3"/>
    <x v="0"/>
    <x v="3"/>
    <x v="2"/>
    <x v="1"/>
    <x v="0"/>
    <x v="0"/>
    <x v="0"/>
    <x v="0"/>
    <x v="0"/>
    <x v="0"/>
    <x v="0"/>
    <x v="0"/>
  </r>
  <r>
    <x v="4"/>
    <x v="4"/>
    <x v="0"/>
    <x v="4"/>
    <x v="2"/>
    <x v="0"/>
    <x v="0"/>
    <x v="2"/>
    <x v="0"/>
    <x v="0"/>
    <x v="0"/>
    <x v="0"/>
    <x v="3"/>
    <x v="3"/>
  </r>
  <r>
    <x v="5"/>
    <x v="5"/>
    <x v="0"/>
    <x v="5"/>
    <x v="2"/>
    <x v="1"/>
    <x v="0"/>
    <x v="0"/>
    <x v="0"/>
    <x v="0"/>
    <x v="0"/>
    <x v="0"/>
    <x v="4"/>
    <x v="4"/>
  </r>
  <r>
    <x v="6"/>
    <x v="6"/>
    <x v="0"/>
    <x v="6"/>
    <x v="2"/>
    <x v="0"/>
    <x v="0"/>
    <x v="1"/>
    <x v="0"/>
    <x v="0"/>
    <x v="0"/>
    <x v="0"/>
    <x v="5"/>
    <x v="5"/>
  </r>
  <r>
    <x v="7"/>
    <x v="7"/>
    <x v="0"/>
    <x v="7"/>
    <x v="2"/>
    <x v="1"/>
    <x v="0"/>
    <x v="0"/>
    <x v="0"/>
    <x v="0"/>
    <x v="0"/>
    <x v="0"/>
    <x v="1"/>
    <x v="1"/>
  </r>
  <r>
    <x v="8"/>
    <x v="8"/>
    <x v="0"/>
    <x v="8"/>
    <x v="2"/>
    <x v="0"/>
    <x v="0"/>
    <x v="2"/>
    <x v="0"/>
    <x v="0"/>
    <x v="0"/>
    <x v="0"/>
    <x v="3"/>
    <x v="3"/>
  </r>
  <r>
    <x v="9"/>
    <x v="9"/>
    <x v="0"/>
    <x v="9"/>
    <x v="2"/>
    <x v="1"/>
    <x v="0"/>
    <x v="0"/>
    <x v="0"/>
    <x v="0"/>
    <x v="0"/>
    <x v="0"/>
    <x v="0"/>
    <x v="0"/>
  </r>
  <r>
    <x v="10"/>
    <x v="10"/>
    <x v="0"/>
    <x v="10"/>
    <x v="2"/>
    <x v="0"/>
    <x v="0"/>
    <x v="1"/>
    <x v="0"/>
    <x v="0"/>
    <x v="0"/>
    <x v="0"/>
    <x v="5"/>
    <x v="5"/>
  </r>
  <r>
    <x v="11"/>
    <x v="11"/>
    <x v="0"/>
    <x v="11"/>
    <x v="2"/>
    <x v="1"/>
    <x v="0"/>
    <x v="0"/>
    <x v="0"/>
    <x v="0"/>
    <x v="0"/>
    <x v="0"/>
    <x v="1"/>
    <x v="1"/>
  </r>
  <r>
    <x v="12"/>
    <x v="12"/>
    <x v="0"/>
    <x v="12"/>
    <x v="3"/>
    <x v="1"/>
    <x v="0"/>
    <x v="1"/>
    <x v="0"/>
    <x v="0"/>
    <x v="0"/>
    <x v="0"/>
    <x v="5"/>
    <x v="5"/>
  </r>
  <r>
    <x v="13"/>
    <x v="13"/>
    <x v="0"/>
    <x v="13"/>
    <x v="3"/>
    <x v="0"/>
    <x v="0"/>
    <x v="0"/>
    <x v="0"/>
    <x v="0"/>
    <x v="0"/>
    <x v="0"/>
    <x v="6"/>
    <x v="6"/>
  </r>
  <r>
    <x v="14"/>
    <x v="14"/>
    <x v="0"/>
    <x v="14"/>
    <x v="3"/>
    <x v="1"/>
    <x v="0"/>
    <x v="1"/>
    <x v="0"/>
    <x v="0"/>
    <x v="0"/>
    <x v="0"/>
    <x v="3"/>
    <x v="3"/>
  </r>
  <r>
    <x v="15"/>
    <x v="15"/>
    <x v="0"/>
    <x v="15"/>
    <x v="3"/>
    <x v="0"/>
    <x v="0"/>
    <x v="2"/>
    <x v="0"/>
    <x v="0"/>
    <x v="0"/>
    <x v="0"/>
    <x v="0"/>
    <x v="0"/>
  </r>
  <r>
    <x v="16"/>
    <x v="16"/>
    <x v="0"/>
    <x v="16"/>
    <x v="3"/>
    <x v="1"/>
    <x v="0"/>
    <x v="0"/>
    <x v="0"/>
    <x v="0"/>
    <x v="0"/>
    <x v="0"/>
    <x v="1"/>
    <x v="1"/>
  </r>
  <r>
    <x v="17"/>
    <x v="17"/>
    <x v="0"/>
    <x v="17"/>
    <x v="3"/>
    <x v="0"/>
    <x v="0"/>
    <x v="1"/>
    <x v="0"/>
    <x v="0"/>
    <x v="0"/>
    <x v="0"/>
    <x v="5"/>
    <x v="5"/>
  </r>
  <r>
    <x v="18"/>
    <x v="18"/>
    <x v="0"/>
    <x v="18"/>
    <x v="3"/>
    <x v="1"/>
    <x v="0"/>
    <x v="0"/>
    <x v="0"/>
    <x v="0"/>
    <x v="0"/>
    <x v="0"/>
    <x v="3"/>
    <x v="3"/>
  </r>
  <r>
    <x v="19"/>
    <x v="19"/>
    <x v="0"/>
    <x v="19"/>
    <x v="3"/>
    <x v="0"/>
    <x v="0"/>
    <x v="2"/>
    <x v="0"/>
    <x v="0"/>
    <x v="0"/>
    <x v="0"/>
    <x v="1"/>
    <x v="1"/>
  </r>
  <r>
    <x v="20"/>
    <x v="20"/>
    <x v="0"/>
    <x v="20"/>
    <x v="3"/>
    <x v="1"/>
    <x v="0"/>
    <x v="0"/>
    <x v="0"/>
    <x v="0"/>
    <x v="0"/>
    <x v="0"/>
    <x v="0"/>
    <x v="0"/>
  </r>
  <r>
    <x v="21"/>
    <x v="21"/>
    <x v="0"/>
    <x v="21"/>
    <x v="3"/>
    <x v="0"/>
    <x v="0"/>
    <x v="1"/>
    <x v="0"/>
    <x v="0"/>
    <x v="0"/>
    <x v="0"/>
    <x v="3"/>
    <x v="3"/>
  </r>
  <r>
    <x v="22"/>
    <x v="22"/>
    <x v="0"/>
    <x v="22"/>
    <x v="4"/>
    <x v="0"/>
    <x v="0"/>
    <x v="1"/>
    <x v="0"/>
    <x v="0"/>
    <x v="0"/>
    <x v="0"/>
    <x v="5"/>
    <x v="5"/>
  </r>
  <r>
    <x v="23"/>
    <x v="23"/>
    <x v="0"/>
    <x v="23"/>
    <x v="4"/>
    <x v="1"/>
    <x v="0"/>
    <x v="0"/>
    <x v="0"/>
    <x v="0"/>
    <x v="0"/>
    <x v="0"/>
    <x v="6"/>
    <x v="6"/>
  </r>
  <r>
    <x v="24"/>
    <x v="24"/>
    <x v="0"/>
    <x v="24"/>
    <x v="4"/>
    <x v="0"/>
    <x v="0"/>
    <x v="1"/>
    <x v="0"/>
    <x v="0"/>
    <x v="0"/>
    <x v="0"/>
    <x v="3"/>
    <x v="3"/>
  </r>
  <r>
    <x v="25"/>
    <x v="25"/>
    <x v="0"/>
    <x v="25"/>
    <x v="4"/>
    <x v="1"/>
    <x v="0"/>
    <x v="2"/>
    <x v="0"/>
    <x v="0"/>
    <x v="0"/>
    <x v="0"/>
    <x v="0"/>
    <x v="0"/>
  </r>
  <r>
    <x v="26"/>
    <x v="26"/>
    <x v="0"/>
    <x v="26"/>
    <x v="4"/>
    <x v="0"/>
    <x v="0"/>
    <x v="0"/>
    <x v="0"/>
    <x v="0"/>
    <x v="0"/>
    <x v="0"/>
    <x v="1"/>
    <x v="1"/>
  </r>
  <r>
    <x v="27"/>
    <x v="27"/>
    <x v="0"/>
    <x v="27"/>
    <x v="4"/>
    <x v="1"/>
    <x v="0"/>
    <x v="1"/>
    <x v="0"/>
    <x v="0"/>
    <x v="0"/>
    <x v="0"/>
    <x v="5"/>
    <x v="5"/>
  </r>
  <r>
    <x v="28"/>
    <x v="28"/>
    <x v="0"/>
    <x v="28"/>
    <x v="4"/>
    <x v="0"/>
    <x v="0"/>
    <x v="0"/>
    <x v="0"/>
    <x v="0"/>
    <x v="0"/>
    <x v="0"/>
    <x v="3"/>
    <x v="3"/>
  </r>
  <r>
    <x v="29"/>
    <x v="29"/>
    <x v="0"/>
    <x v="29"/>
    <x v="4"/>
    <x v="1"/>
    <x v="0"/>
    <x v="2"/>
    <x v="0"/>
    <x v="0"/>
    <x v="0"/>
    <x v="0"/>
    <x v="1"/>
    <x v="1"/>
  </r>
  <r>
    <x v="30"/>
    <x v="30"/>
    <x v="0"/>
    <x v="30"/>
    <x v="4"/>
    <x v="0"/>
    <x v="0"/>
    <x v="0"/>
    <x v="0"/>
    <x v="0"/>
    <x v="0"/>
    <x v="0"/>
    <x v="0"/>
    <x v="0"/>
  </r>
  <r>
    <x v="31"/>
    <x v="31"/>
    <x v="0"/>
    <x v="31"/>
    <x v="4"/>
    <x v="1"/>
    <x v="0"/>
    <x v="1"/>
    <x v="0"/>
    <x v="0"/>
    <x v="0"/>
    <x v="0"/>
    <x v="3"/>
    <x v="3"/>
  </r>
  <r>
    <x v="32"/>
    <x v="32"/>
    <x v="0"/>
    <x v="32"/>
    <x v="5"/>
    <x v="0"/>
    <x v="0"/>
    <x v="0"/>
    <x v="0"/>
    <x v="0"/>
    <x v="0"/>
    <x v="0"/>
    <x v="5"/>
    <x v="5"/>
  </r>
  <r>
    <x v="33"/>
    <x v="33"/>
    <x v="0"/>
    <x v="33"/>
    <x v="5"/>
    <x v="1"/>
    <x v="0"/>
    <x v="0"/>
    <x v="0"/>
    <x v="0"/>
    <x v="0"/>
    <x v="0"/>
    <x v="6"/>
    <x v="6"/>
  </r>
  <r>
    <x v="34"/>
    <x v="34"/>
    <x v="0"/>
    <x v="34"/>
    <x v="5"/>
    <x v="0"/>
    <x v="0"/>
    <x v="1"/>
    <x v="0"/>
    <x v="0"/>
    <x v="0"/>
    <x v="0"/>
    <x v="3"/>
    <x v="3"/>
  </r>
  <r>
    <x v="35"/>
    <x v="35"/>
    <x v="0"/>
    <x v="35"/>
    <x v="5"/>
    <x v="1"/>
    <x v="0"/>
    <x v="1"/>
    <x v="0"/>
    <x v="0"/>
    <x v="0"/>
    <x v="0"/>
    <x v="5"/>
    <x v="5"/>
  </r>
  <r>
    <x v="36"/>
    <x v="36"/>
    <x v="0"/>
    <x v="36"/>
    <x v="5"/>
    <x v="0"/>
    <x v="0"/>
    <x v="0"/>
    <x v="0"/>
    <x v="0"/>
    <x v="0"/>
    <x v="0"/>
    <x v="6"/>
    <x v="6"/>
  </r>
  <r>
    <x v="37"/>
    <x v="37"/>
    <x v="0"/>
    <x v="37"/>
    <x v="5"/>
    <x v="1"/>
    <x v="0"/>
    <x v="1"/>
    <x v="0"/>
    <x v="0"/>
    <x v="0"/>
    <x v="0"/>
    <x v="3"/>
    <x v="3"/>
  </r>
  <r>
    <x v="38"/>
    <x v="38"/>
    <x v="0"/>
    <x v="38"/>
    <x v="5"/>
    <x v="0"/>
    <x v="0"/>
    <x v="2"/>
    <x v="0"/>
    <x v="0"/>
    <x v="0"/>
    <x v="0"/>
    <x v="0"/>
    <x v="0"/>
  </r>
  <r>
    <x v="39"/>
    <x v="31"/>
    <x v="0"/>
    <x v="39"/>
    <x v="5"/>
    <x v="1"/>
    <x v="0"/>
    <x v="0"/>
    <x v="0"/>
    <x v="0"/>
    <x v="0"/>
    <x v="0"/>
    <x v="1"/>
    <x v="1"/>
  </r>
  <r>
    <x v="40"/>
    <x v="39"/>
    <x v="0"/>
    <x v="40"/>
    <x v="5"/>
    <x v="0"/>
    <x v="0"/>
    <x v="1"/>
    <x v="0"/>
    <x v="0"/>
    <x v="0"/>
    <x v="0"/>
    <x v="5"/>
    <x v="5"/>
  </r>
  <r>
    <x v="41"/>
    <x v="40"/>
    <x v="0"/>
    <x v="41"/>
    <x v="5"/>
    <x v="1"/>
    <x v="0"/>
    <x v="0"/>
    <x v="0"/>
    <x v="0"/>
    <x v="0"/>
    <x v="0"/>
    <x v="3"/>
    <x v="3"/>
  </r>
  <r>
    <x v="42"/>
    <x v="41"/>
    <x v="0"/>
    <x v="42"/>
    <x v="6"/>
    <x v="0"/>
    <x v="0"/>
    <x v="2"/>
    <x v="0"/>
    <x v="0"/>
    <x v="0"/>
    <x v="0"/>
    <x v="1"/>
    <x v="1"/>
  </r>
  <r>
    <x v="43"/>
    <x v="42"/>
    <x v="0"/>
    <x v="43"/>
    <x v="6"/>
    <x v="1"/>
    <x v="0"/>
    <x v="0"/>
    <x v="0"/>
    <x v="0"/>
    <x v="0"/>
    <x v="0"/>
    <x v="6"/>
    <x v="6"/>
  </r>
  <r>
    <x v="44"/>
    <x v="43"/>
    <x v="0"/>
    <x v="44"/>
    <x v="6"/>
    <x v="0"/>
    <x v="0"/>
    <x v="1"/>
    <x v="0"/>
    <x v="0"/>
    <x v="0"/>
    <x v="0"/>
    <x v="5"/>
    <x v="5"/>
  </r>
  <r>
    <x v="45"/>
    <x v="44"/>
    <x v="0"/>
    <x v="45"/>
    <x v="6"/>
    <x v="1"/>
    <x v="0"/>
    <x v="1"/>
    <x v="0"/>
    <x v="0"/>
    <x v="0"/>
    <x v="0"/>
    <x v="5"/>
    <x v="5"/>
  </r>
  <r>
    <x v="46"/>
    <x v="45"/>
    <x v="0"/>
    <x v="46"/>
    <x v="6"/>
    <x v="0"/>
    <x v="0"/>
    <x v="0"/>
    <x v="0"/>
    <x v="0"/>
    <x v="0"/>
    <x v="0"/>
    <x v="6"/>
    <x v="6"/>
  </r>
  <r>
    <x v="47"/>
    <x v="46"/>
    <x v="0"/>
    <x v="47"/>
    <x v="6"/>
    <x v="1"/>
    <x v="0"/>
    <x v="1"/>
    <x v="0"/>
    <x v="0"/>
    <x v="0"/>
    <x v="0"/>
    <x v="3"/>
    <x v="3"/>
  </r>
  <r>
    <x v="48"/>
    <x v="47"/>
    <x v="0"/>
    <x v="48"/>
    <x v="6"/>
    <x v="0"/>
    <x v="0"/>
    <x v="2"/>
    <x v="0"/>
    <x v="0"/>
    <x v="0"/>
    <x v="0"/>
    <x v="0"/>
    <x v="0"/>
  </r>
  <r>
    <x v="49"/>
    <x v="48"/>
    <x v="0"/>
    <x v="49"/>
    <x v="6"/>
    <x v="1"/>
    <x v="0"/>
    <x v="0"/>
    <x v="0"/>
    <x v="0"/>
    <x v="0"/>
    <x v="0"/>
    <x v="1"/>
    <x v="1"/>
  </r>
  <r>
    <x v="50"/>
    <x v="49"/>
    <x v="0"/>
    <x v="50"/>
    <x v="6"/>
    <x v="0"/>
    <x v="0"/>
    <x v="1"/>
    <x v="0"/>
    <x v="0"/>
    <x v="0"/>
    <x v="0"/>
    <x v="5"/>
    <x v="5"/>
  </r>
  <r>
    <x v="51"/>
    <x v="50"/>
    <x v="0"/>
    <x v="51"/>
    <x v="6"/>
    <x v="1"/>
    <x v="0"/>
    <x v="0"/>
    <x v="0"/>
    <x v="0"/>
    <x v="0"/>
    <x v="0"/>
    <x v="3"/>
    <x v="3"/>
  </r>
  <r>
    <x v="52"/>
    <x v="51"/>
    <x v="0"/>
    <x v="52"/>
    <x v="7"/>
    <x v="0"/>
    <x v="0"/>
    <x v="2"/>
    <x v="0"/>
    <x v="0"/>
    <x v="0"/>
    <x v="0"/>
    <x v="1"/>
    <x v="1"/>
  </r>
  <r>
    <x v="53"/>
    <x v="52"/>
    <x v="0"/>
    <x v="53"/>
    <x v="7"/>
    <x v="1"/>
    <x v="0"/>
    <x v="0"/>
    <x v="0"/>
    <x v="0"/>
    <x v="0"/>
    <x v="0"/>
    <x v="6"/>
    <x v="6"/>
  </r>
  <r>
    <x v="54"/>
    <x v="53"/>
    <x v="0"/>
    <x v="54"/>
    <x v="7"/>
    <x v="0"/>
    <x v="0"/>
    <x v="1"/>
    <x v="0"/>
    <x v="0"/>
    <x v="0"/>
    <x v="0"/>
    <x v="5"/>
    <x v="5"/>
  </r>
  <r>
    <x v="55"/>
    <x v="30"/>
    <x v="0"/>
    <x v="55"/>
    <x v="7"/>
    <x v="1"/>
    <x v="0"/>
    <x v="0"/>
    <x v="0"/>
    <x v="0"/>
    <x v="0"/>
    <x v="0"/>
    <x v="3"/>
    <x v="3"/>
  </r>
  <r>
    <x v="56"/>
    <x v="54"/>
    <x v="0"/>
    <x v="56"/>
    <x v="7"/>
    <x v="0"/>
    <x v="0"/>
    <x v="2"/>
    <x v="0"/>
    <x v="0"/>
    <x v="0"/>
    <x v="0"/>
    <x v="0"/>
    <x v="0"/>
  </r>
  <r>
    <x v="57"/>
    <x v="55"/>
    <x v="0"/>
    <x v="57"/>
    <x v="7"/>
    <x v="1"/>
    <x v="0"/>
    <x v="0"/>
    <x v="0"/>
    <x v="0"/>
    <x v="0"/>
    <x v="0"/>
    <x v="1"/>
    <x v="1"/>
  </r>
  <r>
    <x v="58"/>
    <x v="56"/>
    <x v="0"/>
    <x v="58"/>
    <x v="7"/>
    <x v="1"/>
    <x v="0"/>
    <x v="1"/>
    <x v="0"/>
    <x v="0"/>
    <x v="0"/>
    <x v="0"/>
    <x v="5"/>
    <x v="5"/>
  </r>
  <r>
    <x v="59"/>
    <x v="57"/>
    <x v="0"/>
    <x v="59"/>
    <x v="7"/>
    <x v="0"/>
    <x v="0"/>
    <x v="0"/>
    <x v="0"/>
    <x v="0"/>
    <x v="0"/>
    <x v="0"/>
    <x v="6"/>
    <x v="6"/>
  </r>
  <r>
    <x v="60"/>
    <x v="58"/>
    <x v="0"/>
    <x v="60"/>
    <x v="7"/>
    <x v="1"/>
    <x v="0"/>
    <x v="1"/>
    <x v="0"/>
    <x v="0"/>
    <x v="0"/>
    <x v="0"/>
    <x v="3"/>
    <x v="3"/>
  </r>
  <r>
    <x v="61"/>
    <x v="59"/>
    <x v="0"/>
    <x v="61"/>
    <x v="7"/>
    <x v="0"/>
    <x v="0"/>
    <x v="2"/>
    <x v="0"/>
    <x v="0"/>
    <x v="0"/>
    <x v="0"/>
    <x v="0"/>
    <x v="0"/>
  </r>
  <r>
    <x v="62"/>
    <x v="60"/>
    <x v="0"/>
    <x v="62"/>
    <x v="8"/>
    <x v="1"/>
    <x v="0"/>
    <x v="0"/>
    <x v="0"/>
    <x v="0"/>
    <x v="0"/>
    <x v="0"/>
    <x v="1"/>
    <x v="1"/>
  </r>
  <r>
    <x v="63"/>
    <x v="61"/>
    <x v="0"/>
    <x v="63"/>
    <x v="8"/>
    <x v="0"/>
    <x v="0"/>
    <x v="1"/>
    <x v="0"/>
    <x v="0"/>
    <x v="0"/>
    <x v="0"/>
    <x v="5"/>
    <x v="5"/>
  </r>
  <r>
    <x v="64"/>
    <x v="62"/>
    <x v="0"/>
    <x v="64"/>
    <x v="8"/>
    <x v="1"/>
    <x v="0"/>
    <x v="0"/>
    <x v="0"/>
    <x v="0"/>
    <x v="0"/>
    <x v="0"/>
    <x v="3"/>
    <x v="3"/>
  </r>
  <r>
    <x v="65"/>
    <x v="63"/>
    <x v="0"/>
    <x v="65"/>
    <x v="8"/>
    <x v="0"/>
    <x v="0"/>
    <x v="2"/>
    <x v="0"/>
    <x v="0"/>
    <x v="0"/>
    <x v="0"/>
    <x v="1"/>
    <x v="1"/>
  </r>
  <r>
    <x v="66"/>
    <x v="64"/>
    <x v="0"/>
    <x v="66"/>
    <x v="8"/>
    <x v="1"/>
    <x v="0"/>
    <x v="0"/>
    <x v="0"/>
    <x v="0"/>
    <x v="0"/>
    <x v="0"/>
    <x v="6"/>
    <x v="6"/>
  </r>
  <r>
    <x v="67"/>
    <x v="65"/>
    <x v="0"/>
    <x v="67"/>
    <x v="8"/>
    <x v="0"/>
    <x v="0"/>
    <x v="1"/>
    <x v="0"/>
    <x v="0"/>
    <x v="0"/>
    <x v="0"/>
    <x v="5"/>
    <x v="5"/>
  </r>
  <r>
    <x v="68"/>
    <x v="66"/>
    <x v="0"/>
    <x v="68"/>
    <x v="8"/>
    <x v="1"/>
    <x v="0"/>
    <x v="1"/>
    <x v="0"/>
    <x v="0"/>
    <x v="0"/>
    <x v="0"/>
    <x v="5"/>
    <x v="5"/>
  </r>
  <r>
    <x v="69"/>
    <x v="67"/>
    <x v="0"/>
    <x v="69"/>
    <x v="8"/>
    <x v="0"/>
    <x v="0"/>
    <x v="0"/>
    <x v="0"/>
    <x v="0"/>
    <x v="0"/>
    <x v="0"/>
    <x v="6"/>
    <x v="6"/>
  </r>
  <r>
    <x v="70"/>
    <x v="68"/>
    <x v="0"/>
    <x v="70"/>
    <x v="8"/>
    <x v="1"/>
    <x v="0"/>
    <x v="1"/>
    <x v="0"/>
    <x v="0"/>
    <x v="0"/>
    <x v="0"/>
    <x v="3"/>
    <x v="3"/>
  </r>
  <r>
    <x v="71"/>
    <x v="69"/>
    <x v="0"/>
    <x v="71"/>
    <x v="8"/>
    <x v="0"/>
    <x v="0"/>
    <x v="2"/>
    <x v="0"/>
    <x v="0"/>
    <x v="0"/>
    <x v="0"/>
    <x v="0"/>
    <x v="0"/>
  </r>
  <r>
    <x v="72"/>
    <x v="70"/>
    <x v="0"/>
    <x v="72"/>
    <x v="9"/>
    <x v="1"/>
    <x v="0"/>
    <x v="0"/>
    <x v="0"/>
    <x v="0"/>
    <x v="0"/>
    <x v="0"/>
    <x v="1"/>
    <x v="1"/>
  </r>
  <r>
    <x v="73"/>
    <x v="63"/>
    <x v="0"/>
    <x v="73"/>
    <x v="9"/>
    <x v="0"/>
    <x v="0"/>
    <x v="1"/>
    <x v="0"/>
    <x v="0"/>
    <x v="0"/>
    <x v="0"/>
    <x v="5"/>
    <x v="5"/>
  </r>
  <r>
    <x v="74"/>
    <x v="71"/>
    <x v="0"/>
    <x v="74"/>
    <x v="9"/>
    <x v="1"/>
    <x v="0"/>
    <x v="0"/>
    <x v="0"/>
    <x v="0"/>
    <x v="0"/>
    <x v="0"/>
    <x v="3"/>
    <x v="3"/>
  </r>
  <r>
    <x v="75"/>
    <x v="72"/>
    <x v="0"/>
    <x v="75"/>
    <x v="9"/>
    <x v="0"/>
    <x v="0"/>
    <x v="2"/>
    <x v="0"/>
    <x v="0"/>
    <x v="0"/>
    <x v="0"/>
    <x v="1"/>
    <x v="1"/>
  </r>
  <r>
    <x v="76"/>
    <x v="73"/>
    <x v="0"/>
    <x v="76"/>
    <x v="9"/>
    <x v="1"/>
    <x v="0"/>
    <x v="0"/>
    <x v="0"/>
    <x v="0"/>
    <x v="0"/>
    <x v="0"/>
    <x v="6"/>
    <x v="6"/>
  </r>
  <r>
    <x v="77"/>
    <x v="74"/>
    <x v="0"/>
    <x v="77"/>
    <x v="9"/>
    <x v="0"/>
    <x v="0"/>
    <x v="1"/>
    <x v="0"/>
    <x v="0"/>
    <x v="0"/>
    <x v="0"/>
    <x v="5"/>
    <x v="5"/>
  </r>
  <r>
    <x v="78"/>
    <x v="75"/>
    <x v="0"/>
    <x v="78"/>
    <x v="9"/>
    <x v="1"/>
    <x v="0"/>
    <x v="0"/>
    <x v="0"/>
    <x v="0"/>
    <x v="0"/>
    <x v="0"/>
    <x v="6"/>
    <x v="6"/>
  </r>
  <r>
    <x v="79"/>
    <x v="76"/>
    <x v="0"/>
    <x v="79"/>
    <x v="9"/>
    <x v="0"/>
    <x v="0"/>
    <x v="2"/>
    <x v="0"/>
    <x v="0"/>
    <x v="0"/>
    <x v="0"/>
    <x v="0"/>
    <x v="0"/>
  </r>
  <r>
    <x v="80"/>
    <x v="77"/>
    <x v="0"/>
    <x v="80"/>
    <x v="9"/>
    <x v="1"/>
    <x v="0"/>
    <x v="0"/>
    <x v="0"/>
    <x v="0"/>
    <x v="0"/>
    <x v="0"/>
    <x v="1"/>
    <x v="1"/>
  </r>
  <r>
    <x v="81"/>
    <x v="78"/>
    <x v="0"/>
    <x v="81"/>
    <x v="9"/>
    <x v="0"/>
    <x v="0"/>
    <x v="1"/>
    <x v="0"/>
    <x v="0"/>
    <x v="0"/>
    <x v="0"/>
    <x v="5"/>
    <x v="5"/>
  </r>
  <r>
    <x v="82"/>
    <x v="79"/>
    <x v="0"/>
    <x v="82"/>
    <x v="9"/>
    <x v="1"/>
    <x v="0"/>
    <x v="0"/>
    <x v="0"/>
    <x v="0"/>
    <x v="0"/>
    <x v="0"/>
    <x v="3"/>
    <x v="3"/>
  </r>
  <r>
    <x v="83"/>
    <x v="80"/>
    <x v="0"/>
    <x v="83"/>
    <x v="10"/>
    <x v="0"/>
    <x v="0"/>
    <x v="2"/>
    <x v="0"/>
    <x v="0"/>
    <x v="0"/>
    <x v="0"/>
    <x v="1"/>
    <x v="1"/>
  </r>
  <r>
    <x v="84"/>
    <x v="81"/>
    <x v="0"/>
    <x v="84"/>
    <x v="10"/>
    <x v="1"/>
    <x v="0"/>
    <x v="0"/>
    <x v="0"/>
    <x v="0"/>
    <x v="0"/>
    <x v="0"/>
    <x v="6"/>
    <x v="6"/>
  </r>
  <r>
    <x v="85"/>
    <x v="82"/>
    <x v="0"/>
    <x v="85"/>
    <x v="10"/>
    <x v="1"/>
    <x v="0"/>
    <x v="1"/>
    <x v="0"/>
    <x v="0"/>
    <x v="0"/>
    <x v="0"/>
    <x v="5"/>
    <x v="5"/>
  </r>
  <r>
    <x v="86"/>
    <x v="83"/>
    <x v="0"/>
    <x v="86"/>
    <x v="10"/>
    <x v="0"/>
    <x v="0"/>
    <x v="0"/>
    <x v="0"/>
    <x v="0"/>
    <x v="0"/>
    <x v="0"/>
    <x v="6"/>
    <x v="6"/>
  </r>
  <r>
    <x v="87"/>
    <x v="84"/>
    <x v="0"/>
    <x v="87"/>
    <x v="10"/>
    <x v="1"/>
    <x v="0"/>
    <x v="1"/>
    <x v="0"/>
    <x v="0"/>
    <x v="0"/>
    <x v="0"/>
    <x v="3"/>
    <x v="3"/>
  </r>
  <r>
    <x v="88"/>
    <x v="85"/>
    <x v="0"/>
    <x v="88"/>
    <x v="10"/>
    <x v="0"/>
    <x v="0"/>
    <x v="2"/>
    <x v="0"/>
    <x v="0"/>
    <x v="0"/>
    <x v="0"/>
    <x v="0"/>
    <x v="0"/>
  </r>
  <r>
    <x v="89"/>
    <x v="86"/>
    <x v="0"/>
    <x v="89"/>
    <x v="10"/>
    <x v="1"/>
    <x v="0"/>
    <x v="0"/>
    <x v="0"/>
    <x v="0"/>
    <x v="0"/>
    <x v="0"/>
    <x v="1"/>
    <x v="1"/>
  </r>
  <r>
    <x v="90"/>
    <x v="87"/>
    <x v="0"/>
    <x v="90"/>
    <x v="10"/>
    <x v="0"/>
    <x v="0"/>
    <x v="1"/>
    <x v="0"/>
    <x v="0"/>
    <x v="0"/>
    <x v="0"/>
    <x v="5"/>
    <x v="5"/>
  </r>
  <r>
    <x v="91"/>
    <x v="88"/>
    <x v="0"/>
    <x v="91"/>
    <x v="10"/>
    <x v="1"/>
    <x v="0"/>
    <x v="0"/>
    <x v="0"/>
    <x v="0"/>
    <x v="0"/>
    <x v="0"/>
    <x v="3"/>
    <x v="3"/>
  </r>
  <r>
    <x v="92"/>
    <x v="89"/>
    <x v="0"/>
    <x v="92"/>
    <x v="10"/>
    <x v="0"/>
    <x v="0"/>
    <x v="2"/>
    <x v="0"/>
    <x v="0"/>
    <x v="0"/>
    <x v="0"/>
    <x v="1"/>
    <x v="1"/>
  </r>
  <r>
    <x v="93"/>
    <x v="90"/>
    <x v="0"/>
    <x v="93"/>
    <x v="11"/>
    <x v="1"/>
    <x v="0"/>
    <x v="0"/>
    <x v="0"/>
    <x v="0"/>
    <x v="0"/>
    <x v="0"/>
    <x v="6"/>
    <x v="6"/>
  </r>
  <r>
    <x v="94"/>
    <x v="91"/>
    <x v="0"/>
    <x v="94"/>
    <x v="11"/>
    <x v="0"/>
    <x v="0"/>
    <x v="1"/>
    <x v="0"/>
    <x v="0"/>
    <x v="0"/>
    <x v="0"/>
    <x v="5"/>
    <x v="5"/>
  </r>
  <r>
    <x v="95"/>
    <x v="92"/>
    <x v="0"/>
    <x v="95"/>
    <x v="11"/>
    <x v="1"/>
    <x v="0"/>
    <x v="0"/>
    <x v="0"/>
    <x v="0"/>
    <x v="0"/>
    <x v="0"/>
    <x v="3"/>
    <x v="3"/>
  </r>
  <r>
    <x v="96"/>
    <x v="93"/>
    <x v="0"/>
    <x v="96"/>
    <x v="11"/>
    <x v="0"/>
    <x v="0"/>
    <x v="2"/>
    <x v="0"/>
    <x v="0"/>
    <x v="0"/>
    <x v="0"/>
    <x v="0"/>
    <x v="0"/>
  </r>
  <r>
    <x v="97"/>
    <x v="94"/>
    <x v="0"/>
    <x v="97"/>
    <x v="11"/>
    <x v="1"/>
    <x v="0"/>
    <x v="0"/>
    <x v="0"/>
    <x v="0"/>
    <x v="0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bl_annual_total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A8:B11" firstHeaderRow="1" firstDataRow="1" firstDataCol="1" rowPageCount="1" colPageCount="1"/>
  <pivotFields count="14"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96">
        <item x="29"/>
        <item x="68"/>
        <item x="37"/>
        <item x="1"/>
        <item x="53"/>
        <item x="60"/>
        <item x="12"/>
        <item x="85"/>
        <item x="76"/>
        <item x="2"/>
        <item x="21"/>
        <item x="94"/>
        <item x="45"/>
        <item x="6"/>
        <item x="61"/>
        <item x="30"/>
        <item x="69"/>
        <item x="38"/>
        <item x="86"/>
        <item x="77"/>
        <item x="13"/>
        <item x="46"/>
        <item x="22"/>
        <item x="5"/>
        <item x="70"/>
        <item x="62"/>
        <item x="7"/>
        <item x="31"/>
        <item x="54"/>
        <item x="14"/>
        <item x="78"/>
        <item x="87"/>
        <item x="47"/>
        <item x="23"/>
        <item x="63"/>
        <item x="55"/>
        <item x="39"/>
        <item x="32"/>
        <item x="0"/>
        <item x="8"/>
        <item x="88"/>
        <item x="79"/>
        <item x="15"/>
        <item x="24"/>
        <item x="48"/>
        <item x="33"/>
        <item x="4"/>
        <item x="71"/>
        <item x="40"/>
        <item x="89"/>
        <item x="80"/>
        <item x="64"/>
        <item x="9"/>
        <item x="16"/>
        <item x="56"/>
        <item x="49"/>
        <item x="25"/>
        <item x="34"/>
        <item x="72"/>
        <item x="41"/>
        <item x="90"/>
        <item x="17"/>
        <item x="81"/>
        <item x="10"/>
        <item x="65"/>
        <item x="57"/>
        <item x="26"/>
        <item x="50"/>
        <item x="73"/>
        <item x="82"/>
        <item x="3"/>
        <item x="91"/>
        <item x="42"/>
        <item x="18"/>
        <item x="35"/>
        <item x="58"/>
        <item x="27"/>
        <item x="51"/>
        <item x="66"/>
        <item x="83"/>
        <item x="74"/>
        <item x="11"/>
        <item x="43"/>
        <item x="92"/>
        <item x="19"/>
        <item x="67"/>
        <item x="36"/>
        <item x="59"/>
        <item x="28"/>
        <item x="52"/>
        <item x="75"/>
        <item x="84"/>
        <item x="20"/>
        <item x="93"/>
        <item x="44"/>
        <item t="default"/>
      </items>
    </pivotField>
    <pivotField compact="0" showAll="0">
      <items count="2">
        <item x="0"/>
        <item t="default"/>
      </items>
    </pivotField>
    <pivotField compact="0" numFmtId="58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3">
        <item x="1"/>
        <item x="0"/>
        <item t="default"/>
      </items>
    </pivotField>
    <pivotField compact="0" numFmtId="177" showAll="0">
      <items count="2">
        <item x="0"/>
        <item t="default"/>
      </items>
    </pivotField>
    <pivotField axis="axisPage" compact="0" multipleItemSelectionAllowed="1" showAll="0">
      <items count="4">
        <item h="1" x="2"/>
        <item x="0"/>
        <item h="1" x="1"/>
        <item t="default"/>
      </items>
    </pivotField>
    <pivotField compact="0" showAll="0">
      <items count="2">
        <item x="0"/>
        <item t="default"/>
      </items>
    </pivotField>
    <pivotField compact="0" numFmtId="177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numFmtId="177" showAll="0">
      <items count="2">
        <item x="0"/>
        <item t="default"/>
      </items>
    </pivotField>
    <pivotField compact="0" numFmtId="177" showAll="0">
      <items count="8">
        <item x="1"/>
        <item x="0"/>
        <item x="5"/>
        <item x="4"/>
        <item x="2"/>
        <item x="6"/>
        <item x="3"/>
        <item t="default"/>
      </items>
    </pivotField>
    <pivotField dataField="1" compact="0" numFmtId="177" showAll="0">
      <items count="8">
        <item x="3"/>
        <item x="6"/>
        <item x="2"/>
        <item x="4"/>
        <item x="5"/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pageFields count="1">
    <pageField fld="7"/>
  </pageFields>
  <dataFields count="1">
    <dataField name="Soma de Total Value" fld="13" baseField="0" baseItem="0"/>
  </dataFields>
  <formats count="1">
    <format dxfId="0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seasonpass_total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A18:B20" firstHeaderRow="1" firstDataRow="1" firstDataCol="1" rowPageCount="1" colPageCount="1"/>
  <pivotFields count="14"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96">
        <item x="29"/>
        <item x="68"/>
        <item x="37"/>
        <item x="1"/>
        <item x="53"/>
        <item x="60"/>
        <item x="12"/>
        <item x="85"/>
        <item x="76"/>
        <item x="2"/>
        <item x="21"/>
        <item x="94"/>
        <item x="45"/>
        <item x="6"/>
        <item x="61"/>
        <item x="30"/>
        <item x="69"/>
        <item x="38"/>
        <item x="86"/>
        <item x="77"/>
        <item x="13"/>
        <item x="46"/>
        <item x="22"/>
        <item x="5"/>
        <item x="70"/>
        <item x="62"/>
        <item x="7"/>
        <item x="31"/>
        <item x="54"/>
        <item x="14"/>
        <item x="78"/>
        <item x="87"/>
        <item x="47"/>
        <item x="23"/>
        <item x="63"/>
        <item x="55"/>
        <item x="39"/>
        <item x="32"/>
        <item x="0"/>
        <item x="8"/>
        <item x="88"/>
        <item x="79"/>
        <item x="15"/>
        <item x="24"/>
        <item x="48"/>
        <item x="33"/>
        <item x="4"/>
        <item x="71"/>
        <item x="40"/>
        <item x="89"/>
        <item x="80"/>
        <item x="64"/>
        <item x="9"/>
        <item x="16"/>
        <item x="56"/>
        <item x="49"/>
        <item x="25"/>
        <item x="34"/>
        <item x="72"/>
        <item x="41"/>
        <item x="90"/>
        <item x="17"/>
        <item x="81"/>
        <item x="10"/>
        <item x="65"/>
        <item x="57"/>
        <item x="26"/>
        <item x="50"/>
        <item x="73"/>
        <item x="82"/>
        <item x="3"/>
        <item x="91"/>
        <item x="42"/>
        <item x="18"/>
        <item x="35"/>
        <item x="58"/>
        <item x="27"/>
        <item x="51"/>
        <item x="66"/>
        <item x="83"/>
        <item x="74"/>
        <item x="11"/>
        <item x="43"/>
        <item x="92"/>
        <item x="19"/>
        <item x="67"/>
        <item x="36"/>
        <item x="59"/>
        <item x="28"/>
        <item x="52"/>
        <item x="75"/>
        <item x="84"/>
        <item x="20"/>
        <item x="93"/>
        <item x="44"/>
        <item t="default"/>
      </items>
    </pivotField>
    <pivotField axis="axisRow" compact="0" showAll="0">
      <items count="2">
        <item x="0"/>
        <item t="default"/>
      </items>
    </pivotField>
    <pivotField compact="0" numFmtId="58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>
      <items count="2">
        <item x="0"/>
        <item t="default"/>
      </items>
    </pivotField>
    <pivotField axis="axisPage" compact="0" multipleItemSelectionAllowed="1" showAll="0">
      <items count="4">
        <item h="1" x="2"/>
        <item x="0"/>
        <item h="1" x="1"/>
        <item t="default"/>
      </items>
    </pivotField>
    <pivotField compact="0" showAll="0">
      <items count="2">
        <item x="0"/>
        <item t="default"/>
      </items>
    </pivotField>
    <pivotField dataField="1" compact="0" numFmtId="177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numFmtId="177" showAll="0">
      <items count="2">
        <item x="0"/>
        <item t="default"/>
      </items>
    </pivotField>
    <pivotField compact="0" numFmtId="177" showAll="0">
      <items count="8">
        <item x="1"/>
        <item x="0"/>
        <item x="5"/>
        <item x="4"/>
        <item x="2"/>
        <item x="6"/>
        <item x="3"/>
        <item t="default"/>
      </items>
    </pivotField>
    <pivotField compact="0" numFmtId="177" showAll="0">
      <items count="8">
        <item x="3"/>
        <item x="6"/>
        <item x="2"/>
        <item x="4"/>
        <item x="5"/>
        <item x="0"/>
        <item x="1"/>
        <item t="default"/>
      </items>
    </pivotField>
  </pivotFields>
  <rowFields count="1">
    <field x="2"/>
  </rowFields>
  <rowItems count="2">
    <i>
      <x/>
    </i>
    <i t="grand">
      <x/>
    </i>
  </rowItems>
  <colItems count="1">
    <i/>
  </colItems>
  <pageFields count="1">
    <pageField fld="7"/>
  </pageFields>
  <dataFields count="1">
    <dataField name="Soma de EA Play Season Pass_x000a_Price" fld="9" baseField="0" baseItem="0"/>
  </dataFields>
  <formats count="1">
    <format dxfId="1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_x000a_Dinâmica3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A27:B29" firstHeaderRow="1" firstDataRow="1" firstDataCol="1" rowPageCount="1" colPageCount="1"/>
  <pivotFields count="14"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96">
        <item x="29"/>
        <item x="68"/>
        <item x="37"/>
        <item x="1"/>
        <item x="53"/>
        <item x="60"/>
        <item x="12"/>
        <item x="85"/>
        <item x="76"/>
        <item x="2"/>
        <item x="21"/>
        <item x="94"/>
        <item x="45"/>
        <item x="6"/>
        <item x="61"/>
        <item x="30"/>
        <item x="69"/>
        <item x="38"/>
        <item x="86"/>
        <item x="77"/>
        <item x="13"/>
        <item x="46"/>
        <item x="22"/>
        <item x="5"/>
        <item x="70"/>
        <item x="62"/>
        <item x="7"/>
        <item x="31"/>
        <item x="54"/>
        <item x="14"/>
        <item x="78"/>
        <item x="87"/>
        <item x="47"/>
        <item x="23"/>
        <item x="63"/>
        <item x="55"/>
        <item x="39"/>
        <item x="32"/>
        <item x="0"/>
        <item x="8"/>
        <item x="88"/>
        <item x="79"/>
        <item x="15"/>
        <item x="24"/>
        <item x="48"/>
        <item x="33"/>
        <item x="4"/>
        <item x="71"/>
        <item x="40"/>
        <item x="89"/>
        <item x="80"/>
        <item x="64"/>
        <item x="9"/>
        <item x="16"/>
        <item x="56"/>
        <item x="49"/>
        <item x="25"/>
        <item x="34"/>
        <item x="72"/>
        <item x="41"/>
        <item x="90"/>
        <item x="17"/>
        <item x="81"/>
        <item x="10"/>
        <item x="65"/>
        <item x="57"/>
        <item x="26"/>
        <item x="50"/>
        <item x="73"/>
        <item x="82"/>
        <item x="3"/>
        <item x="91"/>
        <item x="42"/>
        <item x="18"/>
        <item x="35"/>
        <item x="58"/>
        <item x="27"/>
        <item x="51"/>
        <item x="66"/>
        <item x="83"/>
        <item x="74"/>
        <item x="11"/>
        <item x="43"/>
        <item x="92"/>
        <item x="19"/>
        <item x="67"/>
        <item x="36"/>
        <item x="59"/>
        <item x="28"/>
        <item x="52"/>
        <item x="75"/>
        <item x="84"/>
        <item x="20"/>
        <item x="93"/>
        <item x="44"/>
        <item t="default"/>
      </items>
    </pivotField>
    <pivotField axis="axisRow" compact="0" showAll="0">
      <items count="2">
        <item x="0"/>
        <item t="default"/>
      </items>
    </pivotField>
    <pivotField compact="0" numFmtId="58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>
      <items count="2">
        <item x="0"/>
        <item t="default"/>
      </items>
    </pivotField>
    <pivotField axis="axisPage" compact="0" multipleItemSelectionAllowed="1" showAll="0">
      <items count="4">
        <item h="1" x="2"/>
        <item x="0"/>
        <item h="1" x="1"/>
        <item t="default"/>
      </items>
    </pivotField>
    <pivotField compact="0" showAll="0">
      <items count="2">
        <item x="0"/>
        <item t="default"/>
      </items>
    </pivotField>
    <pivotField compact="0" numFmtId="177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dataField="1" compact="0" numFmtId="177" showAll="0">
      <items count="2">
        <item x="0"/>
        <item t="default"/>
      </items>
    </pivotField>
    <pivotField compact="0" numFmtId="177" showAll="0">
      <items count="8">
        <item x="1"/>
        <item x="0"/>
        <item x="5"/>
        <item x="4"/>
        <item x="2"/>
        <item x="6"/>
        <item x="3"/>
        <item t="default"/>
      </items>
    </pivotField>
    <pivotField compact="0" numFmtId="177" showAll="0">
      <items count="8">
        <item x="3"/>
        <item x="6"/>
        <item x="2"/>
        <item x="4"/>
        <item x="5"/>
        <item x="0"/>
        <item x="1"/>
        <item t="default"/>
      </items>
    </pivotField>
  </pivotFields>
  <rowFields count="1">
    <field x="2"/>
  </rowFields>
  <rowItems count="2">
    <i>
      <x/>
    </i>
    <i t="grand">
      <x/>
    </i>
  </rowItems>
  <colItems count="1">
    <i/>
  </colItems>
  <pageFields count="1">
    <pageField fld="7"/>
  </pageFields>
  <dataFields count="1">
    <dataField name="Soma de Minecraft Season Pass Price" fld="11" baseField="0" baseItem="0"/>
  </dataFields>
  <formats count="1">
    <format dxfId="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_x000a_Dinâmica4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A78:C95" firstHeaderRow="1" firstDataRow="1" firstDataCol="0"/>
  <pivotFields count="14"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96">
        <item x="29"/>
        <item x="68"/>
        <item x="37"/>
        <item x="1"/>
        <item x="53"/>
        <item x="60"/>
        <item x="12"/>
        <item x="85"/>
        <item x="76"/>
        <item x="2"/>
        <item x="21"/>
        <item x="94"/>
        <item x="45"/>
        <item x="6"/>
        <item x="61"/>
        <item x="30"/>
        <item x="69"/>
        <item x="38"/>
        <item x="86"/>
        <item x="77"/>
        <item x="13"/>
        <item x="46"/>
        <item x="22"/>
        <item x="5"/>
        <item x="70"/>
        <item x="62"/>
        <item x="7"/>
        <item x="31"/>
        <item x="54"/>
        <item x="14"/>
        <item x="78"/>
        <item x="87"/>
        <item x="47"/>
        <item x="23"/>
        <item x="63"/>
        <item x="55"/>
        <item x="39"/>
        <item x="32"/>
        <item x="0"/>
        <item x="8"/>
        <item x="88"/>
        <item x="79"/>
        <item x="15"/>
        <item x="24"/>
        <item x="48"/>
        <item x="33"/>
        <item x="4"/>
        <item x="71"/>
        <item x="40"/>
        <item x="89"/>
        <item x="80"/>
        <item x="64"/>
        <item x="9"/>
        <item x="16"/>
        <item x="56"/>
        <item x="49"/>
        <item x="25"/>
        <item x="34"/>
        <item x="72"/>
        <item x="41"/>
        <item x="90"/>
        <item x="17"/>
        <item x="81"/>
        <item x="10"/>
        <item x="65"/>
        <item x="57"/>
        <item x="26"/>
        <item x="50"/>
        <item x="73"/>
        <item x="82"/>
        <item x="3"/>
        <item x="91"/>
        <item x="42"/>
        <item x="18"/>
        <item x="35"/>
        <item x="58"/>
        <item x="27"/>
        <item x="51"/>
        <item x="66"/>
        <item x="83"/>
        <item x="74"/>
        <item x="11"/>
        <item x="43"/>
        <item x="92"/>
        <item x="19"/>
        <item x="67"/>
        <item x="36"/>
        <item x="59"/>
        <item x="28"/>
        <item x="52"/>
        <item x="75"/>
        <item x="84"/>
        <item x="20"/>
        <item x="93"/>
        <item x="44"/>
        <item t="default"/>
      </items>
    </pivotField>
    <pivotField compact="0" showAll="0">
      <items count="2">
        <item x="0"/>
        <item t="default"/>
      </items>
    </pivotField>
    <pivotField compact="0" multipleItemSelectionAllowed="1" numFmtId="58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>
      <items count="2">
        <item x="0"/>
        <item t="default"/>
      </items>
    </pivotField>
    <pivotField compact="0" multipleItemSelectionAllowed="1" showAll="0">
      <items count="4">
        <item h="1" x="2"/>
        <item x="0"/>
        <item h="1" x="1"/>
        <item t="default"/>
      </items>
    </pivotField>
    <pivotField compact="0" showAll="0">
      <items count="2">
        <item x="0"/>
        <item t="default"/>
      </items>
    </pivotField>
    <pivotField compact="0" numFmtId="177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numFmtId="177" showAll="0">
      <items count="2">
        <item x="0"/>
        <item t="default"/>
      </items>
    </pivotField>
    <pivotField compact="0" numFmtId="177" showAll="0">
      <items count="8">
        <item x="1"/>
        <item x="0"/>
        <item x="5"/>
        <item x="4"/>
        <item x="2"/>
        <item x="6"/>
        <item x="3"/>
        <item t="default"/>
      </items>
    </pivotField>
    <pivotField compact="0" numFmtId="177" showAll="0">
      <items count="8">
        <item x="3"/>
        <item x="6"/>
        <item x="2"/>
        <item x="4"/>
        <item x="5"/>
        <item x="0"/>
        <item x="1"/>
        <item t="default"/>
      </items>
    </pivotField>
  </pivotFields>
  <formats count="1">
    <format dxfId="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_x000a_Dinâmica1" cacheId="1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A34:B47" firstHeaderRow="1" firstDataRow="1" firstDataCol="1"/>
  <pivotFields count="14"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2">
        <item x="0"/>
        <item t="default"/>
      </items>
    </pivotField>
    <pivotField compact="0" numFmtId="58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numFmtId="177" showAll="0">
      <items count="2"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numFmtId="177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numFmtId="177" showAll="0">
      <items count="2">
        <item x="0"/>
        <item t="default"/>
      </items>
    </pivotField>
    <pivotField compact="0" numFmtId="177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numFmtId="177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Total Value" fld="13" baseField="0" baseItem="0" numFmtId="180"/>
  </dataFields>
  <formats count="2">
    <format dxfId="4">
      <pivotArea dataOnly="0" labelOnly="1" fieldPosition="0">
        <references count="1">
          <reference field="4" count="1">
            <x v="9"/>
          </reference>
        </references>
      </pivotArea>
    </format>
    <format dxfId="5">
      <pivotArea collapsedLevelsAreSubtotals="1" fieldPosition="0">
        <references count="1">
          <reference field="4" count="1" selected="0">
            <x v="9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_x000a_Dinâmica2" cacheId="1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A52:B65" firstHeaderRow="1" firstDataRow="1" firstDataCol="1"/>
  <pivotFields count="14"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2">
        <item x="0"/>
        <item t="default"/>
      </items>
    </pivotField>
    <pivotField compact="0" numFmtId="58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numFmtId="177" showAll="0">
      <items count="2"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numFmtId="177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numFmtId="177" showAll="0">
      <items count="2">
        <item x="0"/>
        <item t="default"/>
      </items>
    </pivotField>
    <pivotField compact="0" numFmtId="177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numFmtId="177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Total Value" fld="13" baseField="0" baseItem="0" numFmtId="180"/>
  </dataFields>
  <formats count="6">
    <format dxfId="6">
      <pivotArea dataOnly="0" labelOnly="1" fieldPosition="0">
        <references count="1">
          <reference field="4" count="1">
            <x v="9"/>
          </reference>
        </references>
      </pivotArea>
    </format>
    <format dxfId="7">
      <pivotArea collapsedLevelsAreSubtotals="1" fieldPosition="0">
        <references count="1">
          <reference field="4" count="1" selected="0">
            <x v="9"/>
          </reference>
        </references>
      </pivotArea>
    </format>
    <format dxfId="8">
      <pivotArea dataOnly="0" labelOnly="1" fieldPosition="0">
        <references count="1">
          <reference field="4" count="1">
            <x v="9"/>
          </reference>
        </references>
      </pivotArea>
    </format>
    <format dxfId="9">
      <pivotArea collapsedLevelsAreSubtotals="1" fieldPosition="0">
        <references count="1">
          <reference field="4" count="1" selected="0">
            <x v="9"/>
          </reference>
        </references>
      </pivotArea>
    </format>
    <format dxfId="10">
      <pivotArea dataOnly="0" labelOnly="1" fieldPosition="0">
        <references count="1">
          <reference field="4" count="1">
            <x v="0"/>
          </reference>
        </references>
      </pivotArea>
    </format>
    <format dxfId="11">
      <pivotArea collapsedLevelsAreSubtotals="1" fieldPosition="0">
        <references count="1">
          <reference field="4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bscription_Type" sourceName="Subscription Type">
  <pivotTables>
    <pivotTable tabId="3" name="Tbl_annual_total"/>
    <pivotTable tabId="3" name="tbl_EAseasonpass_total"/>
    <pivotTable tabId="3" name="Tabela _x000a_Dinâmica3"/>
    <pivotTable tabId="3" name="Tabela _x000a_Dinâmica4"/>
  </pivotTables>
  <data>
    <tabular pivotCacheId="1">
      <items count="3">
        <i x="2" s="0"/>
        <i x="0" s="1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licer_Subscription_Type" caption="Subscription Type" style="SlicerStyleDark6 2" rowHeight="193675"/>
</slicers>
</file>

<file path=xl/tables/table1.xml><?xml version="1.0" encoding="utf-8"?>
<table xmlns="http://schemas.openxmlformats.org/spreadsheetml/2006/main" id="1" name="Tabela1" displayName="Tabela1" ref="A1:N99" totalsRowShown="0">
  <autoFilter xmlns:etc="http://www.wps.cn/officeDocument/2017/etCustomData" ref="A1:N99" etc:filterBottomFollowUsedRange="0"/>
  <tableColumns count="14">
    <tableColumn id="1" name="Subscriber ID" dataDxfId="12"/>
    <tableColumn id="2" name="Name" dataDxfId="13"/>
    <tableColumn id="3" name="Plan" dataDxfId="14"/>
    <tableColumn id="4" name="Start Date" dataDxfId="15"/>
    <tableColumn id="14" name="Month" dataDxfId="16">
      <calculatedColumnFormula>MONTH(D2)</calculatedColumnFormula>
    </tableColumn>
    <tableColumn id="5" name="Auto Renewal" dataDxfId="17"/>
    <tableColumn id="6" name="Subscription Price" dataDxfId="18"/>
    <tableColumn id="7" name="Subscription Type" dataDxfId="19"/>
    <tableColumn id="8" name="EA Play Season Pass" dataDxfId="20"/>
    <tableColumn id="9" name="EA Play Season Pass&#10;Price" dataDxfId="21"/>
    <tableColumn id="10" name="Minecraft Season Pass" dataDxfId="22"/>
    <tableColumn id="11" name="Minecraft Season Pass Price" dataDxfId="23"/>
    <tableColumn id="12" name="Coupon Value" dataDxfId="24"/>
    <tableColumn id="13" name="Total Value" dataDxfId="25"/>
  </tableColumns>
  <tableStyleInfo name="TableStylePreset3_Accent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P21"/>
  <sheetViews>
    <sheetView workbookViewId="0">
      <selection activeCell="J29" sqref="J29"/>
    </sheetView>
  </sheetViews>
  <sheetFormatPr defaultColWidth="10.2857142857143" defaultRowHeight="15"/>
  <cols>
    <col min="1" max="8" width="10.2857142857143" style="29"/>
    <col min="9" max="9" width="4.07619047619048" style="29" customWidth="1"/>
    <col min="10" max="16384" width="10.2857142857143" style="29"/>
  </cols>
  <sheetData>
    <row r="3" s="29" customFormat="1" ht="20.25" spans="2:8">
      <c r="B3" s="35" t="s">
        <v>0</v>
      </c>
      <c r="C3" s="35"/>
      <c r="D3" s="35"/>
      <c r="E3" s="35"/>
      <c r="F3" s="35"/>
      <c r="G3" s="35"/>
      <c r="H3" s="35"/>
    </row>
    <row r="4" s="29" customFormat="1" ht="15.75"/>
    <row r="5" s="29" customFormat="1" spans="2:6">
      <c r="B5" s="36" t="s">
        <v>1</v>
      </c>
      <c r="C5" s="29" t="s">
        <v>2</v>
      </c>
      <c r="E5" s="37" t="s">
        <v>3</v>
      </c>
      <c r="F5" s="29" t="s">
        <v>4</v>
      </c>
    </row>
    <row r="6" s="29" customFormat="1" spans="2:3">
      <c r="B6" s="38" t="s">
        <v>5</v>
      </c>
      <c r="C6" s="29" t="s">
        <v>2</v>
      </c>
    </row>
    <row r="7" s="29" customFormat="1" spans="2:3">
      <c r="B7" s="39" t="s">
        <v>6</v>
      </c>
      <c r="C7" s="29" t="s">
        <v>7</v>
      </c>
    </row>
    <row r="8" s="29" customFormat="1" spans="2:3">
      <c r="B8" s="40" t="s">
        <v>8</v>
      </c>
      <c r="C8" s="29" t="s">
        <v>7</v>
      </c>
    </row>
    <row r="12" s="29" customFormat="1" ht="20.25" spans="2:16">
      <c r="B12" s="35" t="s">
        <v>9</v>
      </c>
      <c r="C12" s="35"/>
      <c r="D12" s="35"/>
      <c r="E12" s="35"/>
      <c r="F12" s="35"/>
      <c r="G12" s="35"/>
      <c r="H12" s="35"/>
      <c r="J12" s="35" t="s">
        <v>10</v>
      </c>
      <c r="K12" s="35"/>
      <c r="L12" s="35"/>
      <c r="M12" s="35"/>
      <c r="N12" s="35"/>
      <c r="O12" s="35"/>
      <c r="P12" s="35"/>
    </row>
    <row r="13" s="29" customFormat="1" ht="15.75" spans="2:8">
      <c r="B13" s="41"/>
      <c r="C13" s="41"/>
      <c r="D13" s="41"/>
      <c r="E13" s="41"/>
      <c r="F13" s="41"/>
      <c r="G13" s="41"/>
      <c r="H13" s="41"/>
    </row>
    <row r="14" s="29" customFormat="1" spans="2:8">
      <c r="B14" s="41"/>
      <c r="C14" s="41"/>
      <c r="D14" s="41"/>
      <c r="E14" s="41"/>
      <c r="F14" s="41"/>
      <c r="G14" s="41"/>
      <c r="H14" s="41"/>
    </row>
    <row r="15" s="29" customFormat="1" spans="2:8">
      <c r="B15" s="41"/>
      <c r="C15" s="41"/>
      <c r="D15" s="41"/>
      <c r="E15" s="41"/>
      <c r="F15" s="41"/>
      <c r="G15" s="41"/>
      <c r="H15" s="41"/>
    </row>
    <row r="16" s="29" customFormat="1" spans="2:8">
      <c r="B16" s="41"/>
      <c r="C16" s="41"/>
      <c r="D16" s="41"/>
      <c r="E16" s="41"/>
      <c r="F16" s="41"/>
      <c r="G16" s="41"/>
      <c r="H16" s="41"/>
    </row>
    <row r="17" s="29" customFormat="1" spans="2:8">
      <c r="B17" s="41"/>
      <c r="C17" s="41"/>
      <c r="D17" s="41"/>
      <c r="E17" s="41"/>
      <c r="F17" s="41"/>
      <c r="G17" s="41"/>
      <c r="H17" s="41"/>
    </row>
    <row r="18" s="29" customFormat="1" spans="2:8">
      <c r="B18" s="41"/>
      <c r="C18" s="41"/>
      <c r="D18" s="41"/>
      <c r="E18" s="41"/>
      <c r="F18" s="41"/>
      <c r="G18" s="41"/>
      <c r="H18" s="41"/>
    </row>
    <row r="19" s="29" customFormat="1" spans="2:8">
      <c r="B19" s="41"/>
      <c r="C19" s="41"/>
      <c r="D19" s="41"/>
      <c r="E19" s="41"/>
      <c r="F19" s="41"/>
      <c r="G19" s="41"/>
      <c r="H19" s="41"/>
    </row>
    <row r="20" s="29" customFormat="1" spans="2:8">
      <c r="B20" s="41"/>
      <c r="C20" s="41"/>
      <c r="D20" s="41"/>
      <c r="E20" s="41"/>
      <c r="F20" s="41"/>
      <c r="G20" s="41"/>
      <c r="H20" s="41"/>
    </row>
    <row r="21" s="29" customFormat="1" spans="2:8">
      <c r="B21" s="41"/>
      <c r="C21" s="41"/>
      <c r="D21" s="41"/>
      <c r="E21" s="41"/>
      <c r="F21" s="41"/>
      <c r="G21" s="41"/>
      <c r="H21" s="41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8576"/>
  <sheetViews>
    <sheetView workbookViewId="0">
      <selection activeCell="J29" sqref="J29"/>
    </sheetView>
  </sheetViews>
  <sheetFormatPr defaultColWidth="9.14285714285714" defaultRowHeight="15"/>
  <cols>
    <col min="1" max="1" width="12.1428571428571" style="29" customWidth="1"/>
    <col min="2" max="2" width="18.4285714285714" style="29" customWidth="1"/>
    <col min="3" max="3" width="8.42857142857143" style="29" customWidth="1"/>
    <col min="4" max="4" width="11.4285714285714" style="29" customWidth="1"/>
    <col min="5" max="5" width="9.57142857142857" style="29" customWidth="1"/>
    <col min="6" max="6" width="8.42857142857143" style="29" customWidth="1"/>
    <col min="7" max="7" width="11.7142857142857" style="29" customWidth="1"/>
    <col min="8" max="8" width="12.4285714285714" style="29" customWidth="1"/>
    <col min="9" max="9" width="18.7142857142857" style="29" customWidth="1"/>
    <col min="10" max="10" width="18.4285714285714" style="29" customWidth="1"/>
    <col min="11" max="11" width="13.5714285714286" style="29" customWidth="1"/>
    <col min="12" max="12" width="16.8571428571429" style="29" customWidth="1"/>
    <col min="13" max="14" width="9.57142857142857" style="29" customWidth="1"/>
    <col min="15" max="16384" width="9.14285714285714" style="29"/>
  </cols>
  <sheetData>
    <row r="1" s="29" customFormat="1" ht="45" customHeight="1" spans="1:14">
      <c r="A1" s="30" t="s">
        <v>11</v>
      </c>
      <c r="B1" s="30" t="s">
        <v>12</v>
      </c>
      <c r="C1" s="30" t="s">
        <v>13</v>
      </c>
      <c r="D1" s="30" t="s">
        <v>14</v>
      </c>
      <c r="E1" s="30" t="s">
        <v>15</v>
      </c>
      <c r="F1" s="30" t="s">
        <v>16</v>
      </c>
      <c r="G1" s="30" t="s">
        <v>17</v>
      </c>
      <c r="H1" s="30" t="s">
        <v>18</v>
      </c>
      <c r="I1" s="30" t="s">
        <v>19</v>
      </c>
      <c r="J1" s="30" t="s">
        <v>20</v>
      </c>
      <c r="K1" s="30" t="s">
        <v>21</v>
      </c>
      <c r="L1" s="30" t="s">
        <v>22</v>
      </c>
      <c r="M1" s="30" t="s">
        <v>23</v>
      </c>
      <c r="N1" s="30" t="s">
        <v>24</v>
      </c>
    </row>
    <row r="2" s="29" customFormat="1" ht="16.5" customHeight="1" spans="1:14">
      <c r="A2" s="31">
        <v>3231</v>
      </c>
      <c r="B2" s="31" t="s">
        <v>25</v>
      </c>
      <c r="C2" s="31" t="s">
        <v>26</v>
      </c>
      <c r="D2" s="32">
        <v>45292</v>
      </c>
      <c r="E2" s="33">
        <f t="shared" ref="E2:E33" si="0">MONTH(D2)</f>
        <v>1</v>
      </c>
      <c r="F2" s="31" t="s">
        <v>27</v>
      </c>
      <c r="G2" s="34">
        <v>15</v>
      </c>
      <c r="H2" s="31" t="s">
        <v>28</v>
      </c>
      <c r="I2" s="31" t="s">
        <v>27</v>
      </c>
      <c r="J2" s="34">
        <v>30</v>
      </c>
      <c r="K2" s="31" t="s">
        <v>27</v>
      </c>
      <c r="L2" s="34">
        <v>20</v>
      </c>
      <c r="M2" s="34">
        <v>5</v>
      </c>
      <c r="N2" s="34">
        <v>60</v>
      </c>
    </row>
    <row r="3" s="29" customFormat="1" ht="16.5" customHeight="1" spans="1:14">
      <c r="A3" s="31">
        <v>3234</v>
      </c>
      <c r="B3" s="31" t="s">
        <v>29</v>
      </c>
      <c r="C3" s="31" t="s">
        <v>26</v>
      </c>
      <c r="D3" s="32">
        <v>45342</v>
      </c>
      <c r="E3" s="33">
        <f t="shared" si="0"/>
        <v>2</v>
      </c>
      <c r="F3" s="31" t="s">
        <v>30</v>
      </c>
      <c r="G3" s="34">
        <v>15</v>
      </c>
      <c r="H3" s="31" t="s">
        <v>28</v>
      </c>
      <c r="I3" s="31" t="s">
        <v>27</v>
      </c>
      <c r="J3" s="34">
        <v>30</v>
      </c>
      <c r="K3" s="31" t="s">
        <v>27</v>
      </c>
      <c r="L3" s="34">
        <v>20</v>
      </c>
      <c r="M3" s="34">
        <v>3</v>
      </c>
      <c r="N3" s="34">
        <v>62</v>
      </c>
    </row>
    <row r="4" s="29" customFormat="1" ht="16.5" customHeight="1" spans="1:14">
      <c r="A4" s="31">
        <v>3237</v>
      </c>
      <c r="B4" s="31" t="s">
        <v>31</v>
      </c>
      <c r="C4" s="31" t="s">
        <v>26</v>
      </c>
      <c r="D4" s="32">
        <v>45354</v>
      </c>
      <c r="E4" s="33">
        <f t="shared" si="0"/>
        <v>3</v>
      </c>
      <c r="F4" s="31" t="s">
        <v>27</v>
      </c>
      <c r="G4" s="34">
        <v>15</v>
      </c>
      <c r="H4" s="31" t="s">
        <v>32</v>
      </c>
      <c r="I4" s="31" t="s">
        <v>27</v>
      </c>
      <c r="J4" s="34">
        <v>30</v>
      </c>
      <c r="K4" s="31" t="s">
        <v>27</v>
      </c>
      <c r="L4" s="34">
        <v>20</v>
      </c>
      <c r="M4" s="34">
        <v>10</v>
      </c>
      <c r="N4" s="34">
        <v>55</v>
      </c>
    </row>
    <row r="5" s="29" customFormat="1" ht="16.5" customHeight="1" spans="1:14">
      <c r="A5" s="31">
        <v>3239</v>
      </c>
      <c r="B5" s="31" t="s">
        <v>33</v>
      </c>
      <c r="C5" s="31" t="s">
        <v>26</v>
      </c>
      <c r="D5" s="32">
        <v>45356</v>
      </c>
      <c r="E5" s="33">
        <f t="shared" si="0"/>
        <v>3</v>
      </c>
      <c r="F5" s="31" t="s">
        <v>30</v>
      </c>
      <c r="G5" s="34">
        <v>15</v>
      </c>
      <c r="H5" s="31" t="s">
        <v>28</v>
      </c>
      <c r="I5" s="31" t="s">
        <v>27</v>
      </c>
      <c r="J5" s="34">
        <v>30</v>
      </c>
      <c r="K5" s="31" t="s">
        <v>27</v>
      </c>
      <c r="L5" s="34">
        <v>20</v>
      </c>
      <c r="M5" s="34">
        <v>5</v>
      </c>
      <c r="N5" s="34">
        <v>60</v>
      </c>
    </row>
    <row r="6" s="29" customFormat="1" ht="16.5" customHeight="1" spans="1:14">
      <c r="A6" s="31">
        <v>3242</v>
      </c>
      <c r="B6" s="31" t="s">
        <v>34</v>
      </c>
      <c r="C6" s="31" t="s">
        <v>26</v>
      </c>
      <c r="D6" s="32">
        <v>45359</v>
      </c>
      <c r="E6" s="33">
        <f t="shared" si="0"/>
        <v>3</v>
      </c>
      <c r="F6" s="31" t="s">
        <v>27</v>
      </c>
      <c r="G6" s="34">
        <v>15</v>
      </c>
      <c r="H6" s="31" t="s">
        <v>35</v>
      </c>
      <c r="I6" s="31" t="s">
        <v>27</v>
      </c>
      <c r="J6" s="34">
        <v>30</v>
      </c>
      <c r="K6" s="31" t="s">
        <v>27</v>
      </c>
      <c r="L6" s="34">
        <v>20</v>
      </c>
      <c r="M6" s="34">
        <v>20</v>
      </c>
      <c r="N6" s="34">
        <v>45</v>
      </c>
    </row>
    <row r="7" s="29" customFormat="1" ht="16.5" customHeight="1" spans="1:14">
      <c r="A7" s="31">
        <v>3245</v>
      </c>
      <c r="B7" s="31" t="s">
        <v>36</v>
      </c>
      <c r="C7" s="31" t="s">
        <v>26</v>
      </c>
      <c r="D7" s="32">
        <v>45362</v>
      </c>
      <c r="E7" s="33">
        <f t="shared" si="0"/>
        <v>3</v>
      </c>
      <c r="F7" s="31" t="s">
        <v>30</v>
      </c>
      <c r="G7" s="34">
        <v>15</v>
      </c>
      <c r="H7" s="31" t="s">
        <v>28</v>
      </c>
      <c r="I7" s="31" t="s">
        <v>27</v>
      </c>
      <c r="J7" s="34">
        <v>30</v>
      </c>
      <c r="K7" s="31" t="s">
        <v>27</v>
      </c>
      <c r="L7" s="34">
        <v>20</v>
      </c>
      <c r="M7" s="34">
        <v>8</v>
      </c>
      <c r="N7" s="34">
        <v>57</v>
      </c>
    </row>
    <row r="8" s="29" customFormat="1" ht="16.5" customHeight="1" spans="1:14">
      <c r="A8" s="31">
        <v>3248</v>
      </c>
      <c r="B8" s="31" t="s">
        <v>37</v>
      </c>
      <c r="C8" s="31" t="s">
        <v>26</v>
      </c>
      <c r="D8" s="32">
        <v>45365</v>
      </c>
      <c r="E8" s="33">
        <f t="shared" si="0"/>
        <v>3</v>
      </c>
      <c r="F8" s="31" t="s">
        <v>27</v>
      </c>
      <c r="G8" s="34">
        <v>15</v>
      </c>
      <c r="H8" s="31" t="s">
        <v>32</v>
      </c>
      <c r="I8" s="31" t="s">
        <v>27</v>
      </c>
      <c r="J8" s="34">
        <v>30</v>
      </c>
      <c r="K8" s="31" t="s">
        <v>27</v>
      </c>
      <c r="L8" s="34">
        <v>20</v>
      </c>
      <c r="M8" s="34">
        <v>7</v>
      </c>
      <c r="N8" s="34">
        <v>58</v>
      </c>
    </row>
    <row r="9" s="29" customFormat="1" ht="16.5" customHeight="1" spans="1:14">
      <c r="A9" s="31">
        <v>3251</v>
      </c>
      <c r="B9" s="31" t="s">
        <v>38</v>
      </c>
      <c r="C9" s="31" t="s">
        <v>26</v>
      </c>
      <c r="D9" s="32">
        <v>45368</v>
      </c>
      <c r="E9" s="33">
        <f t="shared" si="0"/>
        <v>3</v>
      </c>
      <c r="F9" s="31" t="s">
        <v>30</v>
      </c>
      <c r="G9" s="34">
        <v>15</v>
      </c>
      <c r="H9" s="31" t="s">
        <v>28</v>
      </c>
      <c r="I9" s="31" t="s">
        <v>27</v>
      </c>
      <c r="J9" s="34">
        <v>30</v>
      </c>
      <c r="K9" s="31" t="s">
        <v>27</v>
      </c>
      <c r="L9" s="34">
        <v>20</v>
      </c>
      <c r="M9" s="34">
        <v>3</v>
      </c>
      <c r="N9" s="34">
        <v>62</v>
      </c>
    </row>
    <row r="10" s="29" customFormat="1" ht="16.5" customHeight="1" spans="1:14">
      <c r="A10" s="31">
        <v>3254</v>
      </c>
      <c r="B10" s="31" t="s">
        <v>39</v>
      </c>
      <c r="C10" s="31" t="s">
        <v>26</v>
      </c>
      <c r="D10" s="32">
        <v>45371</v>
      </c>
      <c r="E10" s="33">
        <f t="shared" si="0"/>
        <v>3</v>
      </c>
      <c r="F10" s="31" t="s">
        <v>27</v>
      </c>
      <c r="G10" s="34">
        <v>15</v>
      </c>
      <c r="H10" s="31" t="s">
        <v>35</v>
      </c>
      <c r="I10" s="31" t="s">
        <v>27</v>
      </c>
      <c r="J10" s="34">
        <v>30</v>
      </c>
      <c r="K10" s="31" t="s">
        <v>27</v>
      </c>
      <c r="L10" s="34">
        <v>20</v>
      </c>
      <c r="M10" s="34">
        <v>20</v>
      </c>
      <c r="N10" s="34">
        <v>45</v>
      </c>
    </row>
    <row r="11" s="29" customFormat="1" ht="16.5" customHeight="1" spans="1:14">
      <c r="A11" s="31">
        <v>3257</v>
      </c>
      <c r="B11" s="31" t="s">
        <v>40</v>
      </c>
      <c r="C11" s="31" t="s">
        <v>26</v>
      </c>
      <c r="D11" s="32">
        <v>45374</v>
      </c>
      <c r="E11" s="33">
        <f t="shared" si="0"/>
        <v>3</v>
      </c>
      <c r="F11" s="31" t="s">
        <v>30</v>
      </c>
      <c r="G11" s="34">
        <v>15</v>
      </c>
      <c r="H11" s="31" t="s">
        <v>28</v>
      </c>
      <c r="I11" s="31" t="s">
        <v>27</v>
      </c>
      <c r="J11" s="34">
        <v>30</v>
      </c>
      <c r="K11" s="31" t="s">
        <v>27</v>
      </c>
      <c r="L11" s="34">
        <v>20</v>
      </c>
      <c r="M11" s="34">
        <v>5</v>
      </c>
      <c r="N11" s="34">
        <v>60</v>
      </c>
    </row>
    <row r="12" s="29" customFormat="1" ht="16.5" customHeight="1" spans="1:14">
      <c r="A12" s="31">
        <v>3260</v>
      </c>
      <c r="B12" s="31" t="s">
        <v>41</v>
      </c>
      <c r="C12" s="31" t="s">
        <v>26</v>
      </c>
      <c r="D12" s="32">
        <v>45377</v>
      </c>
      <c r="E12" s="33">
        <f t="shared" si="0"/>
        <v>3</v>
      </c>
      <c r="F12" s="31" t="s">
        <v>27</v>
      </c>
      <c r="G12" s="34">
        <v>15</v>
      </c>
      <c r="H12" s="31" t="s">
        <v>32</v>
      </c>
      <c r="I12" s="31" t="s">
        <v>27</v>
      </c>
      <c r="J12" s="34">
        <v>30</v>
      </c>
      <c r="K12" s="31" t="s">
        <v>27</v>
      </c>
      <c r="L12" s="34">
        <v>20</v>
      </c>
      <c r="M12" s="34">
        <v>7</v>
      </c>
      <c r="N12" s="34">
        <v>58</v>
      </c>
    </row>
    <row r="13" s="29" customFormat="1" ht="16.5" customHeight="1" spans="1:14">
      <c r="A13" s="31">
        <v>3263</v>
      </c>
      <c r="B13" s="31" t="s">
        <v>42</v>
      </c>
      <c r="C13" s="31" t="s">
        <v>26</v>
      </c>
      <c r="D13" s="32">
        <v>45380</v>
      </c>
      <c r="E13" s="33">
        <f t="shared" si="0"/>
        <v>3</v>
      </c>
      <c r="F13" s="31" t="s">
        <v>30</v>
      </c>
      <c r="G13" s="34">
        <v>15</v>
      </c>
      <c r="H13" s="31" t="s">
        <v>28</v>
      </c>
      <c r="I13" s="31" t="s">
        <v>27</v>
      </c>
      <c r="J13" s="34">
        <v>30</v>
      </c>
      <c r="K13" s="31" t="s">
        <v>27</v>
      </c>
      <c r="L13" s="34">
        <v>20</v>
      </c>
      <c r="M13" s="34">
        <v>3</v>
      </c>
      <c r="N13" s="34">
        <v>62</v>
      </c>
    </row>
    <row r="14" s="29" customFormat="1" ht="16.5" customHeight="1" spans="1:14">
      <c r="A14" s="31">
        <v>3267</v>
      </c>
      <c r="B14" s="31" t="s">
        <v>43</v>
      </c>
      <c r="C14" s="31" t="s">
        <v>26</v>
      </c>
      <c r="D14" s="32">
        <v>45384</v>
      </c>
      <c r="E14" s="33">
        <f t="shared" si="0"/>
        <v>4</v>
      </c>
      <c r="F14" s="31" t="s">
        <v>30</v>
      </c>
      <c r="G14" s="34">
        <v>15</v>
      </c>
      <c r="H14" s="31" t="s">
        <v>32</v>
      </c>
      <c r="I14" s="31" t="s">
        <v>27</v>
      </c>
      <c r="J14" s="34">
        <v>30</v>
      </c>
      <c r="K14" s="31" t="s">
        <v>27</v>
      </c>
      <c r="L14" s="34">
        <v>20</v>
      </c>
      <c r="M14" s="34">
        <v>7</v>
      </c>
      <c r="N14" s="34">
        <v>58</v>
      </c>
    </row>
    <row r="15" s="29" customFormat="1" ht="16.5" customHeight="1" spans="1:14">
      <c r="A15" s="31">
        <v>3270</v>
      </c>
      <c r="B15" s="31" t="s">
        <v>44</v>
      </c>
      <c r="C15" s="31" t="s">
        <v>26</v>
      </c>
      <c r="D15" s="32">
        <v>45387</v>
      </c>
      <c r="E15" s="33">
        <f t="shared" si="0"/>
        <v>4</v>
      </c>
      <c r="F15" s="31" t="s">
        <v>27</v>
      </c>
      <c r="G15" s="34">
        <v>15</v>
      </c>
      <c r="H15" s="31" t="s">
        <v>28</v>
      </c>
      <c r="I15" s="31" t="s">
        <v>27</v>
      </c>
      <c r="J15" s="34">
        <v>30</v>
      </c>
      <c r="K15" s="31" t="s">
        <v>27</v>
      </c>
      <c r="L15" s="34">
        <v>20</v>
      </c>
      <c r="M15" s="34">
        <v>15</v>
      </c>
      <c r="N15" s="34">
        <v>50</v>
      </c>
    </row>
    <row r="16" s="29" customFormat="1" ht="16.5" customHeight="1" spans="1:14">
      <c r="A16" s="31">
        <v>3273</v>
      </c>
      <c r="B16" s="31" t="s">
        <v>45</v>
      </c>
      <c r="C16" s="31" t="s">
        <v>26</v>
      </c>
      <c r="D16" s="32">
        <v>45390</v>
      </c>
      <c r="E16" s="33">
        <f t="shared" si="0"/>
        <v>4</v>
      </c>
      <c r="F16" s="31" t="s">
        <v>30</v>
      </c>
      <c r="G16" s="34">
        <v>15</v>
      </c>
      <c r="H16" s="31" t="s">
        <v>32</v>
      </c>
      <c r="I16" s="31" t="s">
        <v>27</v>
      </c>
      <c r="J16" s="34">
        <v>30</v>
      </c>
      <c r="K16" s="31" t="s">
        <v>27</v>
      </c>
      <c r="L16" s="34">
        <v>20</v>
      </c>
      <c r="M16" s="34">
        <v>20</v>
      </c>
      <c r="N16" s="34">
        <v>45</v>
      </c>
    </row>
    <row r="17" s="29" customFormat="1" ht="16.5" customHeight="1" spans="1:14">
      <c r="A17" s="31">
        <v>3276</v>
      </c>
      <c r="B17" s="31" t="s">
        <v>46</v>
      </c>
      <c r="C17" s="31" t="s">
        <v>26</v>
      </c>
      <c r="D17" s="32">
        <v>45393</v>
      </c>
      <c r="E17" s="33">
        <f t="shared" si="0"/>
        <v>4</v>
      </c>
      <c r="F17" s="31" t="s">
        <v>27</v>
      </c>
      <c r="G17" s="34">
        <v>15</v>
      </c>
      <c r="H17" s="31" t="s">
        <v>35</v>
      </c>
      <c r="I17" s="31" t="s">
        <v>27</v>
      </c>
      <c r="J17" s="34">
        <v>30</v>
      </c>
      <c r="K17" s="31" t="s">
        <v>27</v>
      </c>
      <c r="L17" s="34">
        <v>20</v>
      </c>
      <c r="M17" s="34">
        <v>5</v>
      </c>
      <c r="N17" s="34">
        <v>60</v>
      </c>
    </row>
    <row r="18" s="29" customFormat="1" ht="16.5" customHeight="1" spans="1:14">
      <c r="A18" s="31">
        <v>3279</v>
      </c>
      <c r="B18" s="31" t="s">
        <v>47</v>
      </c>
      <c r="C18" s="31" t="s">
        <v>26</v>
      </c>
      <c r="D18" s="32">
        <v>45396</v>
      </c>
      <c r="E18" s="33">
        <f t="shared" si="0"/>
        <v>4</v>
      </c>
      <c r="F18" s="31" t="s">
        <v>30</v>
      </c>
      <c r="G18" s="34">
        <v>15</v>
      </c>
      <c r="H18" s="31" t="s">
        <v>28</v>
      </c>
      <c r="I18" s="31" t="s">
        <v>27</v>
      </c>
      <c r="J18" s="34">
        <v>30</v>
      </c>
      <c r="K18" s="31" t="s">
        <v>27</v>
      </c>
      <c r="L18" s="34">
        <v>20</v>
      </c>
      <c r="M18" s="34">
        <v>3</v>
      </c>
      <c r="N18" s="34">
        <v>62</v>
      </c>
    </row>
    <row r="19" s="29" customFormat="1" ht="16.5" customHeight="1" spans="1:14">
      <c r="A19" s="31">
        <v>3282</v>
      </c>
      <c r="B19" s="31" t="s">
        <v>48</v>
      </c>
      <c r="C19" s="31" t="s">
        <v>26</v>
      </c>
      <c r="D19" s="32">
        <v>45399</v>
      </c>
      <c r="E19" s="33">
        <f t="shared" si="0"/>
        <v>4</v>
      </c>
      <c r="F19" s="31" t="s">
        <v>27</v>
      </c>
      <c r="G19" s="34">
        <v>15</v>
      </c>
      <c r="H19" s="31" t="s">
        <v>32</v>
      </c>
      <c r="I19" s="31" t="s">
        <v>27</v>
      </c>
      <c r="J19" s="34">
        <v>30</v>
      </c>
      <c r="K19" s="31" t="s">
        <v>27</v>
      </c>
      <c r="L19" s="34">
        <v>20</v>
      </c>
      <c r="M19" s="34">
        <v>7</v>
      </c>
      <c r="N19" s="34">
        <v>58</v>
      </c>
    </row>
    <row r="20" s="29" customFormat="1" ht="16.5" customHeight="1" spans="1:14">
      <c r="A20" s="31">
        <v>3285</v>
      </c>
      <c r="B20" s="31" t="s">
        <v>49</v>
      </c>
      <c r="C20" s="31" t="s">
        <v>26</v>
      </c>
      <c r="D20" s="32">
        <v>45402</v>
      </c>
      <c r="E20" s="33">
        <f t="shared" si="0"/>
        <v>4</v>
      </c>
      <c r="F20" s="31" t="s">
        <v>30</v>
      </c>
      <c r="G20" s="34">
        <v>15</v>
      </c>
      <c r="H20" s="31" t="s">
        <v>28</v>
      </c>
      <c r="I20" s="31" t="s">
        <v>27</v>
      </c>
      <c r="J20" s="34">
        <v>30</v>
      </c>
      <c r="K20" s="31" t="s">
        <v>27</v>
      </c>
      <c r="L20" s="34">
        <v>20</v>
      </c>
      <c r="M20" s="34">
        <v>20</v>
      </c>
      <c r="N20" s="34">
        <v>45</v>
      </c>
    </row>
    <row r="21" s="29" customFormat="1" ht="16.5" customHeight="1" spans="1:14">
      <c r="A21" s="31">
        <v>3288</v>
      </c>
      <c r="B21" s="31" t="s">
        <v>50</v>
      </c>
      <c r="C21" s="31" t="s">
        <v>26</v>
      </c>
      <c r="D21" s="32">
        <v>45405</v>
      </c>
      <c r="E21" s="33">
        <f t="shared" si="0"/>
        <v>4</v>
      </c>
      <c r="F21" s="31" t="s">
        <v>27</v>
      </c>
      <c r="G21" s="34">
        <v>15</v>
      </c>
      <c r="H21" s="31" t="s">
        <v>35</v>
      </c>
      <c r="I21" s="31" t="s">
        <v>27</v>
      </c>
      <c r="J21" s="34">
        <v>30</v>
      </c>
      <c r="K21" s="31" t="s">
        <v>27</v>
      </c>
      <c r="L21" s="34">
        <v>20</v>
      </c>
      <c r="M21" s="34">
        <v>3</v>
      </c>
      <c r="N21" s="34">
        <v>62</v>
      </c>
    </row>
    <row r="22" s="29" customFormat="1" ht="16.5" customHeight="1" spans="1:14">
      <c r="A22" s="31">
        <v>3291</v>
      </c>
      <c r="B22" s="31" t="s">
        <v>51</v>
      </c>
      <c r="C22" s="31" t="s">
        <v>26</v>
      </c>
      <c r="D22" s="32">
        <v>45408</v>
      </c>
      <c r="E22" s="33">
        <f t="shared" si="0"/>
        <v>4</v>
      </c>
      <c r="F22" s="31" t="s">
        <v>30</v>
      </c>
      <c r="G22" s="34">
        <v>15</v>
      </c>
      <c r="H22" s="31" t="s">
        <v>28</v>
      </c>
      <c r="I22" s="31" t="s">
        <v>27</v>
      </c>
      <c r="J22" s="34">
        <v>30</v>
      </c>
      <c r="K22" s="31" t="s">
        <v>27</v>
      </c>
      <c r="L22" s="34">
        <v>20</v>
      </c>
      <c r="M22" s="34">
        <v>5</v>
      </c>
      <c r="N22" s="34">
        <v>60</v>
      </c>
    </row>
    <row r="23" s="29" customFormat="1" ht="16.5" customHeight="1" spans="1:14">
      <c r="A23" s="31">
        <v>3294</v>
      </c>
      <c r="B23" s="31" t="s">
        <v>52</v>
      </c>
      <c r="C23" s="31" t="s">
        <v>26</v>
      </c>
      <c r="D23" s="32">
        <v>45411</v>
      </c>
      <c r="E23" s="33">
        <f t="shared" si="0"/>
        <v>4</v>
      </c>
      <c r="F23" s="31" t="s">
        <v>27</v>
      </c>
      <c r="G23" s="34">
        <v>15</v>
      </c>
      <c r="H23" s="31" t="s">
        <v>32</v>
      </c>
      <c r="I23" s="31" t="s">
        <v>27</v>
      </c>
      <c r="J23" s="34">
        <v>30</v>
      </c>
      <c r="K23" s="31" t="s">
        <v>27</v>
      </c>
      <c r="L23" s="34">
        <v>20</v>
      </c>
      <c r="M23" s="34">
        <v>20</v>
      </c>
      <c r="N23" s="34">
        <v>45</v>
      </c>
    </row>
    <row r="24" s="29" customFormat="1" ht="16.5" customHeight="1" spans="1:14">
      <c r="A24" s="31">
        <v>3297</v>
      </c>
      <c r="B24" s="31" t="s">
        <v>53</v>
      </c>
      <c r="C24" s="31" t="s">
        <v>26</v>
      </c>
      <c r="D24" s="32">
        <v>45414</v>
      </c>
      <c r="E24" s="33">
        <f t="shared" si="0"/>
        <v>5</v>
      </c>
      <c r="F24" s="31" t="s">
        <v>27</v>
      </c>
      <c r="G24" s="34">
        <v>15</v>
      </c>
      <c r="H24" s="31" t="s">
        <v>32</v>
      </c>
      <c r="I24" s="31" t="s">
        <v>27</v>
      </c>
      <c r="J24" s="34">
        <v>30</v>
      </c>
      <c r="K24" s="31" t="s">
        <v>27</v>
      </c>
      <c r="L24" s="34">
        <v>20</v>
      </c>
      <c r="M24" s="34">
        <v>7</v>
      </c>
      <c r="N24" s="34">
        <v>58</v>
      </c>
    </row>
    <row r="25" s="29" customFormat="1" ht="16.5" customHeight="1" spans="1:14">
      <c r="A25" s="31">
        <v>3300</v>
      </c>
      <c r="B25" s="31" t="s">
        <v>54</v>
      </c>
      <c r="C25" s="31" t="s">
        <v>26</v>
      </c>
      <c r="D25" s="32">
        <v>45417</v>
      </c>
      <c r="E25" s="33">
        <f t="shared" si="0"/>
        <v>5</v>
      </c>
      <c r="F25" s="31" t="s">
        <v>30</v>
      </c>
      <c r="G25" s="34">
        <v>15</v>
      </c>
      <c r="H25" s="31" t="s">
        <v>28</v>
      </c>
      <c r="I25" s="31" t="s">
        <v>27</v>
      </c>
      <c r="J25" s="34">
        <v>30</v>
      </c>
      <c r="K25" s="31" t="s">
        <v>27</v>
      </c>
      <c r="L25" s="34">
        <v>20</v>
      </c>
      <c r="M25" s="34">
        <v>15</v>
      </c>
      <c r="N25" s="34">
        <v>50</v>
      </c>
    </row>
    <row r="26" s="29" customFormat="1" ht="16.5" customHeight="1" spans="1:14">
      <c r="A26" s="31">
        <v>3303</v>
      </c>
      <c r="B26" s="31" t="s">
        <v>55</v>
      </c>
      <c r="C26" s="31" t="s">
        <v>26</v>
      </c>
      <c r="D26" s="32">
        <v>45420</v>
      </c>
      <c r="E26" s="33">
        <f t="shared" si="0"/>
        <v>5</v>
      </c>
      <c r="F26" s="31" t="s">
        <v>27</v>
      </c>
      <c r="G26" s="34">
        <v>15</v>
      </c>
      <c r="H26" s="31" t="s">
        <v>32</v>
      </c>
      <c r="I26" s="31" t="s">
        <v>27</v>
      </c>
      <c r="J26" s="34">
        <v>30</v>
      </c>
      <c r="K26" s="31" t="s">
        <v>27</v>
      </c>
      <c r="L26" s="34">
        <v>20</v>
      </c>
      <c r="M26" s="34">
        <v>20</v>
      </c>
      <c r="N26" s="34">
        <v>45</v>
      </c>
    </row>
    <row r="27" s="29" customFormat="1" ht="16.5" customHeight="1" spans="1:14">
      <c r="A27" s="31">
        <v>3306</v>
      </c>
      <c r="B27" s="31" t="s">
        <v>56</v>
      </c>
      <c r="C27" s="31" t="s">
        <v>26</v>
      </c>
      <c r="D27" s="32">
        <v>45423</v>
      </c>
      <c r="E27" s="33">
        <f t="shared" si="0"/>
        <v>5</v>
      </c>
      <c r="F27" s="31" t="s">
        <v>30</v>
      </c>
      <c r="G27" s="34">
        <v>15</v>
      </c>
      <c r="H27" s="31" t="s">
        <v>35</v>
      </c>
      <c r="I27" s="31" t="s">
        <v>27</v>
      </c>
      <c r="J27" s="34">
        <v>30</v>
      </c>
      <c r="K27" s="31" t="s">
        <v>27</v>
      </c>
      <c r="L27" s="34">
        <v>20</v>
      </c>
      <c r="M27" s="34">
        <v>5</v>
      </c>
      <c r="N27" s="34">
        <v>60</v>
      </c>
    </row>
    <row r="28" s="29" customFormat="1" ht="16.5" customHeight="1" spans="1:14">
      <c r="A28" s="31">
        <v>3309</v>
      </c>
      <c r="B28" s="31" t="s">
        <v>57</v>
      </c>
      <c r="C28" s="31" t="s">
        <v>26</v>
      </c>
      <c r="D28" s="32">
        <v>45426</v>
      </c>
      <c r="E28" s="33">
        <f t="shared" si="0"/>
        <v>5</v>
      </c>
      <c r="F28" s="31" t="s">
        <v>27</v>
      </c>
      <c r="G28" s="34">
        <v>15</v>
      </c>
      <c r="H28" s="31" t="s">
        <v>28</v>
      </c>
      <c r="I28" s="31" t="s">
        <v>27</v>
      </c>
      <c r="J28" s="34">
        <v>30</v>
      </c>
      <c r="K28" s="31" t="s">
        <v>27</v>
      </c>
      <c r="L28" s="34">
        <v>20</v>
      </c>
      <c r="M28" s="34">
        <v>3</v>
      </c>
      <c r="N28" s="34">
        <v>62</v>
      </c>
    </row>
    <row r="29" s="29" customFormat="1" ht="16.5" customHeight="1" spans="1:14">
      <c r="A29" s="31">
        <v>3312</v>
      </c>
      <c r="B29" s="31" t="s">
        <v>58</v>
      </c>
      <c r="C29" s="31" t="s">
        <v>26</v>
      </c>
      <c r="D29" s="32">
        <v>45429</v>
      </c>
      <c r="E29" s="33">
        <f t="shared" si="0"/>
        <v>5</v>
      </c>
      <c r="F29" s="31" t="s">
        <v>30</v>
      </c>
      <c r="G29" s="34">
        <v>15</v>
      </c>
      <c r="H29" s="31" t="s">
        <v>32</v>
      </c>
      <c r="I29" s="31" t="s">
        <v>27</v>
      </c>
      <c r="J29" s="34">
        <v>30</v>
      </c>
      <c r="K29" s="31" t="s">
        <v>27</v>
      </c>
      <c r="L29" s="34">
        <v>20</v>
      </c>
      <c r="M29" s="34">
        <v>7</v>
      </c>
      <c r="N29" s="34">
        <v>58</v>
      </c>
    </row>
    <row r="30" s="29" customFormat="1" ht="16.5" customHeight="1" spans="1:14">
      <c r="A30" s="31">
        <v>3315</v>
      </c>
      <c r="B30" s="31" t="s">
        <v>59</v>
      </c>
      <c r="C30" s="31" t="s">
        <v>26</v>
      </c>
      <c r="D30" s="32">
        <v>45432</v>
      </c>
      <c r="E30" s="33">
        <f t="shared" si="0"/>
        <v>5</v>
      </c>
      <c r="F30" s="31" t="s">
        <v>27</v>
      </c>
      <c r="G30" s="34">
        <v>15</v>
      </c>
      <c r="H30" s="31" t="s">
        <v>28</v>
      </c>
      <c r="I30" s="31" t="s">
        <v>27</v>
      </c>
      <c r="J30" s="34">
        <v>30</v>
      </c>
      <c r="K30" s="31" t="s">
        <v>27</v>
      </c>
      <c r="L30" s="34">
        <v>20</v>
      </c>
      <c r="M30" s="34">
        <v>20</v>
      </c>
      <c r="N30" s="34">
        <v>45</v>
      </c>
    </row>
    <row r="31" s="29" customFormat="1" ht="16.5" customHeight="1" spans="1:14">
      <c r="A31" s="31">
        <v>3318</v>
      </c>
      <c r="B31" s="31" t="s">
        <v>60</v>
      </c>
      <c r="C31" s="31" t="s">
        <v>26</v>
      </c>
      <c r="D31" s="32">
        <v>45435</v>
      </c>
      <c r="E31" s="33">
        <f t="shared" si="0"/>
        <v>5</v>
      </c>
      <c r="F31" s="31" t="s">
        <v>30</v>
      </c>
      <c r="G31" s="34">
        <v>15</v>
      </c>
      <c r="H31" s="31" t="s">
        <v>35</v>
      </c>
      <c r="I31" s="31" t="s">
        <v>27</v>
      </c>
      <c r="J31" s="34">
        <v>30</v>
      </c>
      <c r="K31" s="31" t="s">
        <v>27</v>
      </c>
      <c r="L31" s="34">
        <v>20</v>
      </c>
      <c r="M31" s="34">
        <v>3</v>
      </c>
      <c r="N31" s="34">
        <v>62</v>
      </c>
    </row>
    <row r="32" s="29" customFormat="1" ht="16.5" customHeight="1" spans="1:14">
      <c r="A32" s="31">
        <v>3321</v>
      </c>
      <c r="B32" s="31" t="s">
        <v>61</v>
      </c>
      <c r="C32" s="31" t="s">
        <v>26</v>
      </c>
      <c r="D32" s="32">
        <v>45438</v>
      </c>
      <c r="E32" s="33">
        <f t="shared" si="0"/>
        <v>5</v>
      </c>
      <c r="F32" s="31" t="s">
        <v>27</v>
      </c>
      <c r="G32" s="34">
        <v>15</v>
      </c>
      <c r="H32" s="31" t="s">
        <v>28</v>
      </c>
      <c r="I32" s="31" t="s">
        <v>27</v>
      </c>
      <c r="J32" s="34">
        <v>30</v>
      </c>
      <c r="K32" s="31" t="s">
        <v>27</v>
      </c>
      <c r="L32" s="34">
        <v>20</v>
      </c>
      <c r="M32" s="34">
        <v>5</v>
      </c>
      <c r="N32" s="34">
        <v>60</v>
      </c>
    </row>
    <row r="33" s="29" customFormat="1" ht="16.5" customHeight="1" spans="1:14">
      <c r="A33" s="31">
        <v>3324</v>
      </c>
      <c r="B33" s="31" t="s">
        <v>62</v>
      </c>
      <c r="C33" s="31" t="s">
        <v>26</v>
      </c>
      <c r="D33" s="32">
        <v>45441</v>
      </c>
      <c r="E33" s="33">
        <f t="shared" si="0"/>
        <v>5</v>
      </c>
      <c r="F33" s="31" t="s">
        <v>30</v>
      </c>
      <c r="G33" s="34">
        <v>15</v>
      </c>
      <c r="H33" s="31" t="s">
        <v>32</v>
      </c>
      <c r="I33" s="31" t="s">
        <v>27</v>
      </c>
      <c r="J33" s="34">
        <v>30</v>
      </c>
      <c r="K33" s="31" t="s">
        <v>27</v>
      </c>
      <c r="L33" s="34">
        <v>20</v>
      </c>
      <c r="M33" s="34">
        <v>20</v>
      </c>
      <c r="N33" s="34">
        <v>45</v>
      </c>
    </row>
    <row r="34" s="29" customFormat="1" ht="16.5" customHeight="1" spans="1:14">
      <c r="A34" s="31">
        <v>3327</v>
      </c>
      <c r="B34" s="31" t="s">
        <v>63</v>
      </c>
      <c r="C34" s="31" t="s">
        <v>26</v>
      </c>
      <c r="D34" s="32">
        <v>45444</v>
      </c>
      <c r="E34" s="33">
        <f t="shared" ref="E34:E65" si="1">MONTH(D34)</f>
        <v>6</v>
      </c>
      <c r="F34" s="31" t="s">
        <v>27</v>
      </c>
      <c r="G34" s="34">
        <v>15</v>
      </c>
      <c r="H34" s="31" t="s">
        <v>28</v>
      </c>
      <c r="I34" s="31" t="s">
        <v>27</v>
      </c>
      <c r="J34" s="34">
        <v>30</v>
      </c>
      <c r="K34" s="31" t="s">
        <v>27</v>
      </c>
      <c r="L34" s="34">
        <v>20</v>
      </c>
      <c r="M34" s="34">
        <v>7</v>
      </c>
      <c r="N34" s="34">
        <v>58</v>
      </c>
    </row>
    <row r="35" s="29" customFormat="1" ht="16.5" customHeight="1" spans="1:14">
      <c r="A35" s="31">
        <v>3330</v>
      </c>
      <c r="B35" s="31" t="s">
        <v>64</v>
      </c>
      <c r="C35" s="31" t="s">
        <v>26</v>
      </c>
      <c r="D35" s="32">
        <v>45447</v>
      </c>
      <c r="E35" s="33">
        <f t="shared" si="1"/>
        <v>6</v>
      </c>
      <c r="F35" s="31" t="s">
        <v>30</v>
      </c>
      <c r="G35" s="34">
        <v>15</v>
      </c>
      <c r="H35" s="31" t="s">
        <v>28</v>
      </c>
      <c r="I35" s="31" t="s">
        <v>27</v>
      </c>
      <c r="J35" s="34">
        <v>30</v>
      </c>
      <c r="K35" s="31" t="s">
        <v>27</v>
      </c>
      <c r="L35" s="34">
        <v>20</v>
      </c>
      <c r="M35" s="34">
        <v>15</v>
      </c>
      <c r="N35" s="34">
        <v>50</v>
      </c>
    </row>
    <row r="36" s="29" customFormat="1" ht="16.5" customHeight="1" spans="1:14">
      <c r="A36" s="31">
        <v>3333</v>
      </c>
      <c r="B36" s="31" t="s">
        <v>65</v>
      </c>
      <c r="C36" s="31" t="s">
        <v>26</v>
      </c>
      <c r="D36" s="32">
        <v>45450</v>
      </c>
      <c r="E36" s="33">
        <f t="shared" si="1"/>
        <v>6</v>
      </c>
      <c r="F36" s="31" t="s">
        <v>27</v>
      </c>
      <c r="G36" s="34">
        <v>15</v>
      </c>
      <c r="H36" s="31" t="s">
        <v>32</v>
      </c>
      <c r="I36" s="31" t="s">
        <v>27</v>
      </c>
      <c r="J36" s="34">
        <v>30</v>
      </c>
      <c r="K36" s="31" t="s">
        <v>27</v>
      </c>
      <c r="L36" s="34">
        <v>20</v>
      </c>
      <c r="M36" s="34">
        <v>20</v>
      </c>
      <c r="N36" s="34">
        <v>45</v>
      </c>
    </row>
    <row r="37" s="29" customFormat="1" ht="16.5" customHeight="1" spans="1:14">
      <c r="A37" s="31">
        <v>3337</v>
      </c>
      <c r="B37" s="31" t="s">
        <v>66</v>
      </c>
      <c r="C37" s="31" t="s">
        <v>26</v>
      </c>
      <c r="D37" s="32">
        <v>45454</v>
      </c>
      <c r="E37" s="33">
        <f t="shared" si="1"/>
        <v>6</v>
      </c>
      <c r="F37" s="31" t="s">
        <v>30</v>
      </c>
      <c r="G37" s="34">
        <v>15</v>
      </c>
      <c r="H37" s="31" t="s">
        <v>32</v>
      </c>
      <c r="I37" s="31" t="s">
        <v>27</v>
      </c>
      <c r="J37" s="34">
        <v>30</v>
      </c>
      <c r="K37" s="31" t="s">
        <v>27</v>
      </c>
      <c r="L37" s="34">
        <v>20</v>
      </c>
      <c r="M37" s="34">
        <v>7</v>
      </c>
      <c r="N37" s="34">
        <v>58</v>
      </c>
    </row>
    <row r="38" s="29" customFormat="1" ht="16.5" customHeight="1" spans="1:14">
      <c r="A38" s="31">
        <v>3340</v>
      </c>
      <c r="B38" s="31" t="s">
        <v>67</v>
      </c>
      <c r="C38" s="31" t="s">
        <v>26</v>
      </c>
      <c r="D38" s="32">
        <v>45457</v>
      </c>
      <c r="E38" s="33">
        <f t="shared" si="1"/>
        <v>6</v>
      </c>
      <c r="F38" s="31" t="s">
        <v>27</v>
      </c>
      <c r="G38" s="34">
        <v>15</v>
      </c>
      <c r="H38" s="31" t="s">
        <v>28</v>
      </c>
      <c r="I38" s="31" t="s">
        <v>27</v>
      </c>
      <c r="J38" s="34">
        <v>30</v>
      </c>
      <c r="K38" s="31" t="s">
        <v>27</v>
      </c>
      <c r="L38" s="34">
        <v>20</v>
      </c>
      <c r="M38" s="34">
        <v>15</v>
      </c>
      <c r="N38" s="34">
        <v>50</v>
      </c>
    </row>
    <row r="39" s="29" customFormat="1" ht="16.5" customHeight="1" spans="1:14">
      <c r="A39" s="31">
        <v>3343</v>
      </c>
      <c r="B39" s="31" t="s">
        <v>68</v>
      </c>
      <c r="C39" s="31" t="s">
        <v>26</v>
      </c>
      <c r="D39" s="32">
        <v>45460</v>
      </c>
      <c r="E39" s="33">
        <f t="shared" si="1"/>
        <v>6</v>
      </c>
      <c r="F39" s="31" t="s">
        <v>30</v>
      </c>
      <c r="G39" s="34">
        <v>15</v>
      </c>
      <c r="H39" s="31" t="s">
        <v>32</v>
      </c>
      <c r="I39" s="31" t="s">
        <v>27</v>
      </c>
      <c r="J39" s="34">
        <v>30</v>
      </c>
      <c r="K39" s="31" t="s">
        <v>27</v>
      </c>
      <c r="L39" s="34">
        <v>20</v>
      </c>
      <c r="M39" s="34">
        <v>20</v>
      </c>
      <c r="N39" s="34">
        <v>45</v>
      </c>
    </row>
    <row r="40" s="29" customFormat="1" ht="16.5" customHeight="1" spans="1:14">
      <c r="A40" s="31">
        <v>3346</v>
      </c>
      <c r="B40" s="31" t="s">
        <v>69</v>
      </c>
      <c r="C40" s="31" t="s">
        <v>26</v>
      </c>
      <c r="D40" s="32">
        <v>45463</v>
      </c>
      <c r="E40" s="33">
        <f t="shared" si="1"/>
        <v>6</v>
      </c>
      <c r="F40" s="31" t="s">
        <v>27</v>
      </c>
      <c r="G40" s="34">
        <v>15</v>
      </c>
      <c r="H40" s="31" t="s">
        <v>35</v>
      </c>
      <c r="I40" s="31" t="s">
        <v>27</v>
      </c>
      <c r="J40" s="34">
        <v>30</v>
      </c>
      <c r="K40" s="31" t="s">
        <v>27</v>
      </c>
      <c r="L40" s="34">
        <v>20</v>
      </c>
      <c r="M40" s="34">
        <v>5</v>
      </c>
      <c r="N40" s="34">
        <v>60</v>
      </c>
    </row>
    <row r="41" s="29" customFormat="1" ht="16.5" customHeight="1" spans="1:14">
      <c r="A41" s="31">
        <v>3349</v>
      </c>
      <c r="B41" s="31" t="s">
        <v>62</v>
      </c>
      <c r="C41" s="31" t="s">
        <v>26</v>
      </c>
      <c r="D41" s="32">
        <v>45466</v>
      </c>
      <c r="E41" s="33">
        <f t="shared" si="1"/>
        <v>6</v>
      </c>
      <c r="F41" s="31" t="s">
        <v>30</v>
      </c>
      <c r="G41" s="34">
        <v>15</v>
      </c>
      <c r="H41" s="31" t="s">
        <v>28</v>
      </c>
      <c r="I41" s="31" t="s">
        <v>27</v>
      </c>
      <c r="J41" s="34">
        <v>30</v>
      </c>
      <c r="K41" s="31" t="s">
        <v>27</v>
      </c>
      <c r="L41" s="34">
        <v>20</v>
      </c>
      <c r="M41" s="34">
        <v>3</v>
      </c>
      <c r="N41" s="34">
        <v>62</v>
      </c>
    </row>
    <row r="42" s="29" customFormat="1" ht="16.5" customHeight="1" spans="1:14">
      <c r="A42" s="31">
        <v>3352</v>
      </c>
      <c r="B42" s="31" t="s">
        <v>70</v>
      </c>
      <c r="C42" s="31" t="s">
        <v>26</v>
      </c>
      <c r="D42" s="32">
        <v>45469</v>
      </c>
      <c r="E42" s="33">
        <f t="shared" si="1"/>
        <v>6</v>
      </c>
      <c r="F42" s="31" t="s">
        <v>27</v>
      </c>
      <c r="G42" s="34">
        <v>15</v>
      </c>
      <c r="H42" s="31" t="s">
        <v>32</v>
      </c>
      <c r="I42" s="31" t="s">
        <v>27</v>
      </c>
      <c r="J42" s="34">
        <v>30</v>
      </c>
      <c r="K42" s="31" t="s">
        <v>27</v>
      </c>
      <c r="L42" s="34">
        <v>20</v>
      </c>
      <c r="M42" s="34">
        <v>7</v>
      </c>
      <c r="N42" s="34">
        <v>58</v>
      </c>
    </row>
    <row r="43" s="29" customFormat="1" ht="16.5" customHeight="1" spans="1:14">
      <c r="A43" s="31">
        <v>3355</v>
      </c>
      <c r="B43" s="31" t="s">
        <v>71</v>
      </c>
      <c r="C43" s="31" t="s">
        <v>26</v>
      </c>
      <c r="D43" s="32">
        <v>45472</v>
      </c>
      <c r="E43" s="33">
        <f t="shared" si="1"/>
        <v>6</v>
      </c>
      <c r="F43" s="31" t="s">
        <v>30</v>
      </c>
      <c r="G43" s="34">
        <v>15</v>
      </c>
      <c r="H43" s="31" t="s">
        <v>28</v>
      </c>
      <c r="I43" s="31" t="s">
        <v>27</v>
      </c>
      <c r="J43" s="34">
        <v>30</v>
      </c>
      <c r="K43" s="31" t="s">
        <v>27</v>
      </c>
      <c r="L43" s="34">
        <v>20</v>
      </c>
      <c r="M43" s="34">
        <v>20</v>
      </c>
      <c r="N43" s="34">
        <v>45</v>
      </c>
    </row>
    <row r="44" s="29" customFormat="1" ht="16.5" customHeight="1" spans="1:14">
      <c r="A44" s="31">
        <v>3358</v>
      </c>
      <c r="B44" s="31" t="s">
        <v>72</v>
      </c>
      <c r="C44" s="31" t="s">
        <v>26</v>
      </c>
      <c r="D44" s="32">
        <v>45475</v>
      </c>
      <c r="E44" s="33">
        <f t="shared" si="1"/>
        <v>7</v>
      </c>
      <c r="F44" s="31" t="s">
        <v>27</v>
      </c>
      <c r="G44" s="34">
        <v>15</v>
      </c>
      <c r="H44" s="31" t="s">
        <v>35</v>
      </c>
      <c r="I44" s="31" t="s">
        <v>27</v>
      </c>
      <c r="J44" s="34">
        <v>30</v>
      </c>
      <c r="K44" s="31" t="s">
        <v>27</v>
      </c>
      <c r="L44" s="34">
        <v>20</v>
      </c>
      <c r="M44" s="34">
        <v>3</v>
      </c>
      <c r="N44" s="34">
        <v>62</v>
      </c>
    </row>
    <row r="45" s="29" customFormat="1" ht="16.5" customHeight="1" spans="1:14">
      <c r="A45" s="31">
        <v>3361</v>
      </c>
      <c r="B45" s="31" t="s">
        <v>73</v>
      </c>
      <c r="C45" s="31" t="s">
        <v>26</v>
      </c>
      <c r="D45" s="32">
        <v>45478</v>
      </c>
      <c r="E45" s="33">
        <f t="shared" si="1"/>
        <v>7</v>
      </c>
      <c r="F45" s="31" t="s">
        <v>30</v>
      </c>
      <c r="G45" s="34">
        <v>15</v>
      </c>
      <c r="H45" s="31" t="s">
        <v>28</v>
      </c>
      <c r="I45" s="31" t="s">
        <v>27</v>
      </c>
      <c r="J45" s="34">
        <v>30</v>
      </c>
      <c r="K45" s="31" t="s">
        <v>27</v>
      </c>
      <c r="L45" s="34">
        <v>20</v>
      </c>
      <c r="M45" s="34">
        <v>15</v>
      </c>
      <c r="N45" s="34">
        <v>50</v>
      </c>
    </row>
    <row r="46" s="29" customFormat="1" ht="16.5" customHeight="1" spans="1:14">
      <c r="A46" s="31">
        <v>3364</v>
      </c>
      <c r="B46" s="31" t="s">
        <v>74</v>
      </c>
      <c r="C46" s="31" t="s">
        <v>26</v>
      </c>
      <c r="D46" s="32">
        <v>45481</v>
      </c>
      <c r="E46" s="33">
        <f t="shared" si="1"/>
        <v>7</v>
      </c>
      <c r="F46" s="31" t="s">
        <v>27</v>
      </c>
      <c r="G46" s="34">
        <v>15</v>
      </c>
      <c r="H46" s="31" t="s">
        <v>32</v>
      </c>
      <c r="I46" s="31" t="s">
        <v>27</v>
      </c>
      <c r="J46" s="34">
        <v>30</v>
      </c>
      <c r="K46" s="31" t="s">
        <v>27</v>
      </c>
      <c r="L46" s="34">
        <v>20</v>
      </c>
      <c r="M46" s="34">
        <v>7</v>
      </c>
      <c r="N46" s="34">
        <v>58</v>
      </c>
    </row>
    <row r="47" s="29" customFormat="1" ht="16.5" customHeight="1" spans="1:14">
      <c r="A47" s="31">
        <v>3367</v>
      </c>
      <c r="B47" s="31" t="s">
        <v>75</v>
      </c>
      <c r="C47" s="31" t="s">
        <v>26</v>
      </c>
      <c r="D47" s="32">
        <v>45484</v>
      </c>
      <c r="E47" s="33">
        <f t="shared" si="1"/>
        <v>7</v>
      </c>
      <c r="F47" s="31" t="s">
        <v>30</v>
      </c>
      <c r="G47" s="34">
        <v>15</v>
      </c>
      <c r="H47" s="31" t="s">
        <v>32</v>
      </c>
      <c r="I47" s="31" t="s">
        <v>27</v>
      </c>
      <c r="J47" s="34">
        <v>30</v>
      </c>
      <c r="K47" s="31" t="s">
        <v>27</v>
      </c>
      <c r="L47" s="34">
        <v>20</v>
      </c>
      <c r="M47" s="34">
        <v>7</v>
      </c>
      <c r="N47" s="34">
        <v>58</v>
      </c>
    </row>
    <row r="48" s="29" customFormat="1" ht="16.5" customHeight="1" spans="1:14">
      <c r="A48" s="31">
        <v>3370</v>
      </c>
      <c r="B48" s="31" t="s">
        <v>76</v>
      </c>
      <c r="C48" s="31" t="s">
        <v>26</v>
      </c>
      <c r="D48" s="32">
        <v>45487</v>
      </c>
      <c r="E48" s="33">
        <f t="shared" si="1"/>
        <v>7</v>
      </c>
      <c r="F48" s="31" t="s">
        <v>27</v>
      </c>
      <c r="G48" s="34">
        <v>15</v>
      </c>
      <c r="H48" s="31" t="s">
        <v>28</v>
      </c>
      <c r="I48" s="31" t="s">
        <v>27</v>
      </c>
      <c r="J48" s="34">
        <v>30</v>
      </c>
      <c r="K48" s="31" t="s">
        <v>27</v>
      </c>
      <c r="L48" s="34">
        <v>20</v>
      </c>
      <c r="M48" s="34">
        <v>15</v>
      </c>
      <c r="N48" s="34">
        <v>50</v>
      </c>
    </row>
    <row r="49" s="29" customFormat="1" ht="16.5" customHeight="1" spans="1:14">
      <c r="A49" s="31">
        <v>3373</v>
      </c>
      <c r="B49" s="31" t="s">
        <v>77</v>
      </c>
      <c r="C49" s="31" t="s">
        <v>26</v>
      </c>
      <c r="D49" s="32">
        <v>45490</v>
      </c>
      <c r="E49" s="33">
        <f t="shared" si="1"/>
        <v>7</v>
      </c>
      <c r="F49" s="31" t="s">
        <v>30</v>
      </c>
      <c r="G49" s="34">
        <v>15</v>
      </c>
      <c r="H49" s="31" t="s">
        <v>32</v>
      </c>
      <c r="I49" s="31" t="s">
        <v>27</v>
      </c>
      <c r="J49" s="34">
        <v>30</v>
      </c>
      <c r="K49" s="31" t="s">
        <v>27</v>
      </c>
      <c r="L49" s="34">
        <v>20</v>
      </c>
      <c r="M49" s="34">
        <v>20</v>
      </c>
      <c r="N49" s="34">
        <v>45</v>
      </c>
    </row>
    <row r="50" s="29" customFormat="1" ht="16.5" customHeight="1" spans="1:14">
      <c r="A50" s="31">
        <v>3376</v>
      </c>
      <c r="B50" s="31" t="s">
        <v>78</v>
      </c>
      <c r="C50" s="31" t="s">
        <v>26</v>
      </c>
      <c r="D50" s="32">
        <v>45493</v>
      </c>
      <c r="E50" s="33">
        <f t="shared" si="1"/>
        <v>7</v>
      </c>
      <c r="F50" s="31" t="s">
        <v>27</v>
      </c>
      <c r="G50" s="34">
        <v>15</v>
      </c>
      <c r="H50" s="31" t="s">
        <v>35</v>
      </c>
      <c r="I50" s="31" t="s">
        <v>27</v>
      </c>
      <c r="J50" s="34">
        <v>30</v>
      </c>
      <c r="K50" s="31" t="s">
        <v>27</v>
      </c>
      <c r="L50" s="34">
        <v>20</v>
      </c>
      <c r="M50" s="34">
        <v>5</v>
      </c>
      <c r="N50" s="34">
        <v>60</v>
      </c>
    </row>
    <row r="51" s="29" customFormat="1" ht="16.5" customHeight="1" spans="1:14">
      <c r="A51" s="31">
        <v>3379</v>
      </c>
      <c r="B51" s="31" t="s">
        <v>79</v>
      </c>
      <c r="C51" s="31" t="s">
        <v>26</v>
      </c>
      <c r="D51" s="32">
        <v>45496</v>
      </c>
      <c r="E51" s="33">
        <f t="shared" si="1"/>
        <v>7</v>
      </c>
      <c r="F51" s="31" t="s">
        <v>30</v>
      </c>
      <c r="G51" s="34">
        <v>15</v>
      </c>
      <c r="H51" s="31" t="s">
        <v>28</v>
      </c>
      <c r="I51" s="31" t="s">
        <v>27</v>
      </c>
      <c r="J51" s="34">
        <v>30</v>
      </c>
      <c r="K51" s="31" t="s">
        <v>27</v>
      </c>
      <c r="L51" s="34">
        <v>20</v>
      </c>
      <c r="M51" s="34">
        <v>3</v>
      </c>
      <c r="N51" s="34">
        <v>62</v>
      </c>
    </row>
    <row r="52" s="29" customFormat="1" ht="16.5" customHeight="1" spans="1:14">
      <c r="A52" s="31">
        <v>3382</v>
      </c>
      <c r="B52" s="31" t="s">
        <v>80</v>
      </c>
      <c r="C52" s="31" t="s">
        <v>26</v>
      </c>
      <c r="D52" s="32">
        <v>45499</v>
      </c>
      <c r="E52" s="33">
        <f t="shared" si="1"/>
        <v>7</v>
      </c>
      <c r="F52" s="31" t="s">
        <v>27</v>
      </c>
      <c r="G52" s="34">
        <v>15</v>
      </c>
      <c r="H52" s="31" t="s">
        <v>32</v>
      </c>
      <c r="I52" s="31" t="s">
        <v>27</v>
      </c>
      <c r="J52" s="34">
        <v>30</v>
      </c>
      <c r="K52" s="31" t="s">
        <v>27</v>
      </c>
      <c r="L52" s="34">
        <v>20</v>
      </c>
      <c r="M52" s="34">
        <v>7</v>
      </c>
      <c r="N52" s="34">
        <v>58</v>
      </c>
    </row>
    <row r="53" s="29" customFormat="1" ht="16.5" customHeight="1" spans="1:14">
      <c r="A53" s="31">
        <v>3385</v>
      </c>
      <c r="B53" s="31" t="s">
        <v>81</v>
      </c>
      <c r="C53" s="31" t="s">
        <v>26</v>
      </c>
      <c r="D53" s="32">
        <v>45502</v>
      </c>
      <c r="E53" s="33">
        <f t="shared" si="1"/>
        <v>7</v>
      </c>
      <c r="F53" s="31" t="s">
        <v>30</v>
      </c>
      <c r="G53" s="34">
        <v>15</v>
      </c>
      <c r="H53" s="31" t="s">
        <v>28</v>
      </c>
      <c r="I53" s="31" t="s">
        <v>27</v>
      </c>
      <c r="J53" s="34">
        <v>30</v>
      </c>
      <c r="K53" s="31" t="s">
        <v>27</v>
      </c>
      <c r="L53" s="34">
        <v>20</v>
      </c>
      <c r="M53" s="34">
        <v>20</v>
      </c>
      <c r="N53" s="34">
        <v>45</v>
      </c>
    </row>
    <row r="54" s="29" customFormat="1" ht="16.5" customHeight="1" spans="1:14">
      <c r="A54" s="31">
        <v>3388</v>
      </c>
      <c r="B54" s="31" t="s">
        <v>82</v>
      </c>
      <c r="C54" s="31" t="s">
        <v>26</v>
      </c>
      <c r="D54" s="32">
        <v>45505</v>
      </c>
      <c r="E54" s="33">
        <f t="shared" si="1"/>
        <v>8</v>
      </c>
      <c r="F54" s="31" t="s">
        <v>27</v>
      </c>
      <c r="G54" s="34">
        <v>15</v>
      </c>
      <c r="H54" s="31" t="s">
        <v>35</v>
      </c>
      <c r="I54" s="31" t="s">
        <v>27</v>
      </c>
      <c r="J54" s="34">
        <v>30</v>
      </c>
      <c r="K54" s="31" t="s">
        <v>27</v>
      </c>
      <c r="L54" s="34">
        <v>20</v>
      </c>
      <c r="M54" s="34">
        <v>3</v>
      </c>
      <c r="N54" s="34">
        <v>62</v>
      </c>
    </row>
    <row r="55" s="29" customFormat="1" ht="16.5" customHeight="1" spans="1:14">
      <c r="A55" s="31">
        <v>3391</v>
      </c>
      <c r="B55" s="31" t="s">
        <v>83</v>
      </c>
      <c r="C55" s="31" t="s">
        <v>26</v>
      </c>
      <c r="D55" s="32">
        <v>45508</v>
      </c>
      <c r="E55" s="33">
        <f t="shared" si="1"/>
        <v>8</v>
      </c>
      <c r="F55" s="31" t="s">
        <v>30</v>
      </c>
      <c r="G55" s="34">
        <v>15</v>
      </c>
      <c r="H55" s="31" t="s">
        <v>28</v>
      </c>
      <c r="I55" s="31" t="s">
        <v>27</v>
      </c>
      <c r="J55" s="34">
        <v>30</v>
      </c>
      <c r="K55" s="31" t="s">
        <v>27</v>
      </c>
      <c r="L55" s="34">
        <v>20</v>
      </c>
      <c r="M55" s="34">
        <v>15</v>
      </c>
      <c r="N55" s="34">
        <v>50</v>
      </c>
    </row>
    <row r="56" s="29" customFormat="1" ht="16.5" customHeight="1" spans="1:14">
      <c r="A56" s="31">
        <v>3394</v>
      </c>
      <c r="B56" s="31" t="s">
        <v>84</v>
      </c>
      <c r="C56" s="31" t="s">
        <v>26</v>
      </c>
      <c r="D56" s="32">
        <v>45511</v>
      </c>
      <c r="E56" s="33">
        <f t="shared" si="1"/>
        <v>8</v>
      </c>
      <c r="F56" s="31" t="s">
        <v>27</v>
      </c>
      <c r="G56" s="34">
        <v>15</v>
      </c>
      <c r="H56" s="31" t="s">
        <v>32</v>
      </c>
      <c r="I56" s="31" t="s">
        <v>27</v>
      </c>
      <c r="J56" s="34">
        <v>30</v>
      </c>
      <c r="K56" s="31" t="s">
        <v>27</v>
      </c>
      <c r="L56" s="34">
        <v>20</v>
      </c>
      <c r="M56" s="34">
        <v>7</v>
      </c>
      <c r="N56" s="34">
        <v>58</v>
      </c>
    </row>
    <row r="57" s="29" customFormat="1" ht="16.5" customHeight="1" spans="1:14">
      <c r="A57" s="31">
        <v>3397</v>
      </c>
      <c r="B57" s="31" t="s">
        <v>61</v>
      </c>
      <c r="C57" s="31" t="s">
        <v>26</v>
      </c>
      <c r="D57" s="32">
        <v>45514</v>
      </c>
      <c r="E57" s="33">
        <f t="shared" si="1"/>
        <v>8</v>
      </c>
      <c r="F57" s="31" t="s">
        <v>30</v>
      </c>
      <c r="G57" s="34">
        <v>15</v>
      </c>
      <c r="H57" s="31" t="s">
        <v>28</v>
      </c>
      <c r="I57" s="31" t="s">
        <v>27</v>
      </c>
      <c r="J57" s="34">
        <v>30</v>
      </c>
      <c r="K57" s="31" t="s">
        <v>27</v>
      </c>
      <c r="L57" s="34">
        <v>20</v>
      </c>
      <c r="M57" s="34">
        <v>20</v>
      </c>
      <c r="N57" s="34">
        <v>45</v>
      </c>
    </row>
    <row r="58" s="29" customFormat="1" ht="16.5" customHeight="1" spans="1:14">
      <c r="A58" s="31">
        <v>3400</v>
      </c>
      <c r="B58" s="31" t="s">
        <v>85</v>
      </c>
      <c r="C58" s="31" t="s">
        <v>26</v>
      </c>
      <c r="D58" s="32">
        <v>45517</v>
      </c>
      <c r="E58" s="33">
        <f t="shared" si="1"/>
        <v>8</v>
      </c>
      <c r="F58" s="31" t="s">
        <v>27</v>
      </c>
      <c r="G58" s="34">
        <v>15</v>
      </c>
      <c r="H58" s="31" t="s">
        <v>35</v>
      </c>
      <c r="I58" s="31" t="s">
        <v>27</v>
      </c>
      <c r="J58" s="34">
        <v>30</v>
      </c>
      <c r="K58" s="31" t="s">
        <v>27</v>
      </c>
      <c r="L58" s="34">
        <v>20</v>
      </c>
      <c r="M58" s="34">
        <v>5</v>
      </c>
      <c r="N58" s="34">
        <v>60</v>
      </c>
    </row>
    <row r="59" s="29" customFormat="1" ht="16.5" customHeight="1" spans="1:14">
      <c r="A59" s="31">
        <v>3403</v>
      </c>
      <c r="B59" s="31" t="s">
        <v>86</v>
      </c>
      <c r="C59" s="31" t="s">
        <v>26</v>
      </c>
      <c r="D59" s="32">
        <v>45520</v>
      </c>
      <c r="E59" s="33">
        <f t="shared" si="1"/>
        <v>8</v>
      </c>
      <c r="F59" s="31" t="s">
        <v>30</v>
      </c>
      <c r="G59" s="34">
        <v>15</v>
      </c>
      <c r="H59" s="31" t="s">
        <v>28</v>
      </c>
      <c r="I59" s="31" t="s">
        <v>27</v>
      </c>
      <c r="J59" s="34">
        <v>30</v>
      </c>
      <c r="K59" s="31" t="s">
        <v>27</v>
      </c>
      <c r="L59" s="34">
        <v>20</v>
      </c>
      <c r="M59" s="34">
        <v>3</v>
      </c>
      <c r="N59" s="34">
        <v>62</v>
      </c>
    </row>
    <row r="60" s="29" customFormat="1" ht="16.5" customHeight="1" spans="1:14">
      <c r="A60" s="31">
        <v>3407</v>
      </c>
      <c r="B60" s="31" t="s">
        <v>87</v>
      </c>
      <c r="C60" s="31" t="s">
        <v>26</v>
      </c>
      <c r="D60" s="32">
        <v>45524</v>
      </c>
      <c r="E60" s="33">
        <f t="shared" si="1"/>
        <v>8</v>
      </c>
      <c r="F60" s="31" t="s">
        <v>30</v>
      </c>
      <c r="G60" s="34">
        <v>15</v>
      </c>
      <c r="H60" s="31" t="s">
        <v>32</v>
      </c>
      <c r="I60" s="31" t="s">
        <v>27</v>
      </c>
      <c r="J60" s="34">
        <v>30</v>
      </c>
      <c r="K60" s="31" t="s">
        <v>27</v>
      </c>
      <c r="L60" s="34">
        <v>20</v>
      </c>
      <c r="M60" s="34">
        <v>7</v>
      </c>
      <c r="N60" s="34">
        <v>58</v>
      </c>
    </row>
    <row r="61" s="29" customFormat="1" ht="16.5" customHeight="1" spans="1:14">
      <c r="A61" s="31">
        <v>3410</v>
      </c>
      <c r="B61" s="31" t="s">
        <v>88</v>
      </c>
      <c r="C61" s="31" t="s">
        <v>26</v>
      </c>
      <c r="D61" s="32">
        <v>45527</v>
      </c>
      <c r="E61" s="33">
        <f t="shared" si="1"/>
        <v>8</v>
      </c>
      <c r="F61" s="31" t="s">
        <v>27</v>
      </c>
      <c r="G61" s="34">
        <v>15</v>
      </c>
      <c r="H61" s="31" t="s">
        <v>28</v>
      </c>
      <c r="I61" s="31" t="s">
        <v>27</v>
      </c>
      <c r="J61" s="34">
        <v>30</v>
      </c>
      <c r="K61" s="31" t="s">
        <v>27</v>
      </c>
      <c r="L61" s="34">
        <v>20</v>
      </c>
      <c r="M61" s="34">
        <v>15</v>
      </c>
      <c r="N61" s="34">
        <v>50</v>
      </c>
    </row>
    <row r="62" s="29" customFormat="1" ht="16.5" customHeight="1" spans="1:14">
      <c r="A62" s="31">
        <v>3413</v>
      </c>
      <c r="B62" s="31" t="s">
        <v>89</v>
      </c>
      <c r="C62" s="31" t="s">
        <v>26</v>
      </c>
      <c r="D62" s="32">
        <v>45530</v>
      </c>
      <c r="E62" s="33">
        <f t="shared" si="1"/>
        <v>8</v>
      </c>
      <c r="F62" s="31" t="s">
        <v>30</v>
      </c>
      <c r="G62" s="34">
        <v>15</v>
      </c>
      <c r="H62" s="31" t="s">
        <v>32</v>
      </c>
      <c r="I62" s="31" t="s">
        <v>27</v>
      </c>
      <c r="J62" s="34">
        <v>30</v>
      </c>
      <c r="K62" s="31" t="s">
        <v>27</v>
      </c>
      <c r="L62" s="34">
        <v>20</v>
      </c>
      <c r="M62" s="34">
        <v>20</v>
      </c>
      <c r="N62" s="34">
        <v>45</v>
      </c>
    </row>
    <row r="63" s="29" customFormat="1" ht="16.5" customHeight="1" spans="1:14">
      <c r="A63" s="31">
        <v>3416</v>
      </c>
      <c r="B63" s="31" t="s">
        <v>90</v>
      </c>
      <c r="C63" s="31" t="s">
        <v>26</v>
      </c>
      <c r="D63" s="32">
        <v>45533</v>
      </c>
      <c r="E63" s="33">
        <f t="shared" si="1"/>
        <v>8</v>
      </c>
      <c r="F63" s="31" t="s">
        <v>27</v>
      </c>
      <c r="G63" s="34">
        <v>15</v>
      </c>
      <c r="H63" s="31" t="s">
        <v>35</v>
      </c>
      <c r="I63" s="31" t="s">
        <v>27</v>
      </c>
      <c r="J63" s="34">
        <v>30</v>
      </c>
      <c r="K63" s="31" t="s">
        <v>27</v>
      </c>
      <c r="L63" s="34">
        <v>20</v>
      </c>
      <c r="M63" s="34">
        <v>5</v>
      </c>
      <c r="N63" s="34">
        <v>60</v>
      </c>
    </row>
    <row r="64" s="29" customFormat="1" ht="16.5" customHeight="1" spans="1:14">
      <c r="A64" s="31">
        <v>3419</v>
      </c>
      <c r="B64" s="31" t="s">
        <v>91</v>
      </c>
      <c r="C64" s="31" t="s">
        <v>26</v>
      </c>
      <c r="D64" s="32">
        <v>45536</v>
      </c>
      <c r="E64" s="33">
        <f t="shared" si="1"/>
        <v>9</v>
      </c>
      <c r="F64" s="31" t="s">
        <v>30</v>
      </c>
      <c r="G64" s="34">
        <v>15</v>
      </c>
      <c r="H64" s="31" t="s">
        <v>28</v>
      </c>
      <c r="I64" s="31" t="s">
        <v>27</v>
      </c>
      <c r="J64" s="34">
        <v>30</v>
      </c>
      <c r="K64" s="31" t="s">
        <v>27</v>
      </c>
      <c r="L64" s="34">
        <v>20</v>
      </c>
      <c r="M64" s="34">
        <v>3</v>
      </c>
      <c r="N64" s="34">
        <v>62</v>
      </c>
    </row>
    <row r="65" s="29" customFormat="1" ht="16.5" customHeight="1" spans="1:14">
      <c r="A65" s="31">
        <v>3422</v>
      </c>
      <c r="B65" s="31" t="s">
        <v>92</v>
      </c>
      <c r="C65" s="31" t="s">
        <v>26</v>
      </c>
      <c r="D65" s="32">
        <v>45539</v>
      </c>
      <c r="E65" s="33">
        <f t="shared" si="1"/>
        <v>9</v>
      </c>
      <c r="F65" s="31" t="s">
        <v>27</v>
      </c>
      <c r="G65" s="34">
        <v>15</v>
      </c>
      <c r="H65" s="31" t="s">
        <v>32</v>
      </c>
      <c r="I65" s="31" t="s">
        <v>27</v>
      </c>
      <c r="J65" s="34">
        <v>30</v>
      </c>
      <c r="K65" s="31" t="s">
        <v>27</v>
      </c>
      <c r="L65" s="34">
        <v>20</v>
      </c>
      <c r="M65" s="34">
        <v>7</v>
      </c>
      <c r="N65" s="34">
        <v>58</v>
      </c>
    </row>
    <row r="66" s="29" customFormat="1" ht="16.5" customHeight="1" spans="1:14">
      <c r="A66" s="31">
        <v>3425</v>
      </c>
      <c r="B66" s="31" t="s">
        <v>93</v>
      </c>
      <c r="C66" s="31" t="s">
        <v>26</v>
      </c>
      <c r="D66" s="32">
        <v>45542</v>
      </c>
      <c r="E66" s="33">
        <f t="shared" ref="E66:E99" si="2">MONTH(D66)</f>
        <v>9</v>
      </c>
      <c r="F66" s="31" t="s">
        <v>30</v>
      </c>
      <c r="G66" s="34">
        <v>15</v>
      </c>
      <c r="H66" s="31" t="s">
        <v>28</v>
      </c>
      <c r="I66" s="31" t="s">
        <v>27</v>
      </c>
      <c r="J66" s="34">
        <v>30</v>
      </c>
      <c r="K66" s="31" t="s">
        <v>27</v>
      </c>
      <c r="L66" s="34">
        <v>20</v>
      </c>
      <c r="M66" s="34">
        <v>20</v>
      </c>
      <c r="N66" s="34">
        <v>45</v>
      </c>
    </row>
    <row r="67" s="29" customFormat="1" ht="16.5" customHeight="1" spans="1:14">
      <c r="A67" s="31">
        <v>3428</v>
      </c>
      <c r="B67" s="31" t="s">
        <v>94</v>
      </c>
      <c r="C67" s="31" t="s">
        <v>26</v>
      </c>
      <c r="D67" s="32">
        <v>45545</v>
      </c>
      <c r="E67" s="33">
        <f t="shared" si="2"/>
        <v>9</v>
      </c>
      <c r="F67" s="31" t="s">
        <v>27</v>
      </c>
      <c r="G67" s="34">
        <v>15</v>
      </c>
      <c r="H67" s="31" t="s">
        <v>35</v>
      </c>
      <c r="I67" s="31" t="s">
        <v>27</v>
      </c>
      <c r="J67" s="34">
        <v>30</v>
      </c>
      <c r="K67" s="31" t="s">
        <v>27</v>
      </c>
      <c r="L67" s="34">
        <v>20</v>
      </c>
      <c r="M67" s="34">
        <v>3</v>
      </c>
      <c r="N67" s="34">
        <v>62</v>
      </c>
    </row>
    <row r="68" s="29" customFormat="1" ht="16.5" customHeight="1" spans="1:14">
      <c r="A68" s="31">
        <v>3431</v>
      </c>
      <c r="B68" s="31" t="s">
        <v>95</v>
      </c>
      <c r="C68" s="31" t="s">
        <v>26</v>
      </c>
      <c r="D68" s="32">
        <v>45548</v>
      </c>
      <c r="E68" s="33">
        <f t="shared" si="2"/>
        <v>9</v>
      </c>
      <c r="F68" s="31" t="s">
        <v>30</v>
      </c>
      <c r="G68" s="34">
        <v>15</v>
      </c>
      <c r="H68" s="31" t="s">
        <v>28</v>
      </c>
      <c r="I68" s="31" t="s">
        <v>27</v>
      </c>
      <c r="J68" s="34">
        <v>30</v>
      </c>
      <c r="K68" s="31" t="s">
        <v>27</v>
      </c>
      <c r="L68" s="34">
        <v>20</v>
      </c>
      <c r="M68" s="34">
        <v>15</v>
      </c>
      <c r="N68" s="34">
        <v>50</v>
      </c>
    </row>
    <row r="69" s="29" customFormat="1" ht="16.5" customHeight="1" spans="1:14">
      <c r="A69" s="31">
        <v>3434</v>
      </c>
      <c r="B69" s="31" t="s">
        <v>96</v>
      </c>
      <c r="C69" s="31" t="s">
        <v>26</v>
      </c>
      <c r="D69" s="32">
        <v>45551</v>
      </c>
      <c r="E69" s="33">
        <f t="shared" si="2"/>
        <v>9</v>
      </c>
      <c r="F69" s="31" t="s">
        <v>27</v>
      </c>
      <c r="G69" s="34">
        <v>15</v>
      </c>
      <c r="H69" s="31" t="s">
        <v>32</v>
      </c>
      <c r="I69" s="31" t="s">
        <v>27</v>
      </c>
      <c r="J69" s="34">
        <v>30</v>
      </c>
      <c r="K69" s="31" t="s">
        <v>27</v>
      </c>
      <c r="L69" s="34">
        <v>20</v>
      </c>
      <c r="M69" s="34">
        <v>7</v>
      </c>
      <c r="N69" s="34">
        <v>58</v>
      </c>
    </row>
    <row r="70" s="29" customFormat="1" ht="16.5" customHeight="1" spans="1:14">
      <c r="A70" s="31">
        <v>3437</v>
      </c>
      <c r="B70" s="31" t="s">
        <v>97</v>
      </c>
      <c r="C70" s="31" t="s">
        <v>26</v>
      </c>
      <c r="D70" s="32">
        <v>45554</v>
      </c>
      <c r="E70" s="33">
        <f t="shared" si="2"/>
        <v>9</v>
      </c>
      <c r="F70" s="31" t="s">
        <v>30</v>
      </c>
      <c r="G70" s="34">
        <v>15</v>
      </c>
      <c r="H70" s="31" t="s">
        <v>32</v>
      </c>
      <c r="I70" s="31" t="s">
        <v>27</v>
      </c>
      <c r="J70" s="34">
        <v>30</v>
      </c>
      <c r="K70" s="31" t="s">
        <v>27</v>
      </c>
      <c r="L70" s="34">
        <v>20</v>
      </c>
      <c r="M70" s="34">
        <v>7</v>
      </c>
      <c r="N70" s="34">
        <v>58</v>
      </c>
    </row>
    <row r="71" s="29" customFormat="1" ht="16.5" customHeight="1" spans="1:14">
      <c r="A71" s="31">
        <v>3440</v>
      </c>
      <c r="B71" s="31" t="s">
        <v>98</v>
      </c>
      <c r="C71" s="31" t="s">
        <v>26</v>
      </c>
      <c r="D71" s="32">
        <v>45557</v>
      </c>
      <c r="E71" s="33">
        <f t="shared" si="2"/>
        <v>9</v>
      </c>
      <c r="F71" s="31" t="s">
        <v>27</v>
      </c>
      <c r="G71" s="34">
        <v>15</v>
      </c>
      <c r="H71" s="31" t="s">
        <v>28</v>
      </c>
      <c r="I71" s="31" t="s">
        <v>27</v>
      </c>
      <c r="J71" s="34">
        <v>30</v>
      </c>
      <c r="K71" s="31" t="s">
        <v>27</v>
      </c>
      <c r="L71" s="34">
        <v>20</v>
      </c>
      <c r="M71" s="34">
        <v>15</v>
      </c>
      <c r="N71" s="34">
        <v>50</v>
      </c>
    </row>
    <row r="72" s="29" customFormat="1" ht="16.5" customHeight="1" spans="1:14">
      <c r="A72" s="31">
        <v>3443</v>
      </c>
      <c r="B72" s="31" t="s">
        <v>99</v>
      </c>
      <c r="C72" s="31" t="s">
        <v>26</v>
      </c>
      <c r="D72" s="32">
        <v>45560</v>
      </c>
      <c r="E72" s="33">
        <f t="shared" si="2"/>
        <v>9</v>
      </c>
      <c r="F72" s="31" t="s">
        <v>30</v>
      </c>
      <c r="G72" s="34">
        <v>15</v>
      </c>
      <c r="H72" s="31" t="s">
        <v>32</v>
      </c>
      <c r="I72" s="31" t="s">
        <v>27</v>
      </c>
      <c r="J72" s="34">
        <v>30</v>
      </c>
      <c r="K72" s="31" t="s">
        <v>27</v>
      </c>
      <c r="L72" s="34">
        <v>20</v>
      </c>
      <c r="M72" s="34">
        <v>20</v>
      </c>
      <c r="N72" s="34">
        <v>45</v>
      </c>
    </row>
    <row r="73" s="29" customFormat="1" ht="16.5" customHeight="1" spans="1:14">
      <c r="A73" s="31">
        <v>3446</v>
      </c>
      <c r="B73" s="31" t="s">
        <v>100</v>
      </c>
      <c r="C73" s="31" t="s">
        <v>26</v>
      </c>
      <c r="D73" s="32">
        <v>45563</v>
      </c>
      <c r="E73" s="33">
        <f t="shared" si="2"/>
        <v>9</v>
      </c>
      <c r="F73" s="31" t="s">
        <v>27</v>
      </c>
      <c r="G73" s="34">
        <v>15</v>
      </c>
      <c r="H73" s="31" t="s">
        <v>35</v>
      </c>
      <c r="I73" s="31" t="s">
        <v>27</v>
      </c>
      <c r="J73" s="34">
        <v>30</v>
      </c>
      <c r="K73" s="31" t="s">
        <v>27</v>
      </c>
      <c r="L73" s="34">
        <v>20</v>
      </c>
      <c r="M73" s="34">
        <v>5</v>
      </c>
      <c r="N73" s="34">
        <v>60</v>
      </c>
    </row>
    <row r="74" s="29" customFormat="1" ht="16.5" customHeight="1" spans="1:14">
      <c r="A74" s="31">
        <v>3449</v>
      </c>
      <c r="B74" s="31" t="s">
        <v>101</v>
      </c>
      <c r="C74" s="31" t="s">
        <v>26</v>
      </c>
      <c r="D74" s="32">
        <v>45566</v>
      </c>
      <c r="E74" s="33">
        <f t="shared" si="2"/>
        <v>10</v>
      </c>
      <c r="F74" s="31" t="s">
        <v>30</v>
      </c>
      <c r="G74" s="34">
        <v>15</v>
      </c>
      <c r="H74" s="31" t="s">
        <v>28</v>
      </c>
      <c r="I74" s="31" t="s">
        <v>27</v>
      </c>
      <c r="J74" s="34">
        <v>30</v>
      </c>
      <c r="K74" s="31" t="s">
        <v>27</v>
      </c>
      <c r="L74" s="34">
        <v>20</v>
      </c>
      <c r="M74" s="34">
        <v>3</v>
      </c>
      <c r="N74" s="34">
        <v>62</v>
      </c>
    </row>
    <row r="75" s="29" customFormat="1" ht="16.5" customHeight="1" spans="1:14">
      <c r="A75" s="31">
        <v>3452</v>
      </c>
      <c r="B75" s="31" t="s">
        <v>94</v>
      </c>
      <c r="C75" s="31" t="s">
        <v>26</v>
      </c>
      <c r="D75" s="32">
        <v>45569</v>
      </c>
      <c r="E75" s="33">
        <f t="shared" si="2"/>
        <v>10</v>
      </c>
      <c r="F75" s="31" t="s">
        <v>27</v>
      </c>
      <c r="G75" s="34">
        <v>15</v>
      </c>
      <c r="H75" s="31" t="s">
        <v>32</v>
      </c>
      <c r="I75" s="31" t="s">
        <v>27</v>
      </c>
      <c r="J75" s="34">
        <v>30</v>
      </c>
      <c r="K75" s="31" t="s">
        <v>27</v>
      </c>
      <c r="L75" s="34">
        <v>20</v>
      </c>
      <c r="M75" s="34">
        <v>7</v>
      </c>
      <c r="N75" s="34">
        <v>58</v>
      </c>
    </row>
    <row r="76" s="29" customFormat="1" ht="16.5" customHeight="1" spans="1:14">
      <c r="A76" s="31">
        <v>3455</v>
      </c>
      <c r="B76" s="31" t="s">
        <v>102</v>
      </c>
      <c r="C76" s="31" t="s">
        <v>26</v>
      </c>
      <c r="D76" s="32">
        <v>45572</v>
      </c>
      <c r="E76" s="33">
        <f t="shared" si="2"/>
        <v>10</v>
      </c>
      <c r="F76" s="31" t="s">
        <v>30</v>
      </c>
      <c r="G76" s="34">
        <v>15</v>
      </c>
      <c r="H76" s="31" t="s">
        <v>28</v>
      </c>
      <c r="I76" s="31" t="s">
        <v>27</v>
      </c>
      <c r="J76" s="34">
        <v>30</v>
      </c>
      <c r="K76" s="31" t="s">
        <v>27</v>
      </c>
      <c r="L76" s="34">
        <v>20</v>
      </c>
      <c r="M76" s="34">
        <v>20</v>
      </c>
      <c r="N76" s="34">
        <v>45</v>
      </c>
    </row>
    <row r="77" s="29" customFormat="1" ht="16.5" customHeight="1" spans="1:14">
      <c r="A77" s="31">
        <v>3458</v>
      </c>
      <c r="B77" s="31" t="s">
        <v>103</v>
      </c>
      <c r="C77" s="31" t="s">
        <v>26</v>
      </c>
      <c r="D77" s="32">
        <v>45575</v>
      </c>
      <c r="E77" s="33">
        <f t="shared" si="2"/>
        <v>10</v>
      </c>
      <c r="F77" s="31" t="s">
        <v>27</v>
      </c>
      <c r="G77" s="34">
        <v>15</v>
      </c>
      <c r="H77" s="31" t="s">
        <v>35</v>
      </c>
      <c r="I77" s="31" t="s">
        <v>27</v>
      </c>
      <c r="J77" s="34">
        <v>30</v>
      </c>
      <c r="K77" s="31" t="s">
        <v>27</v>
      </c>
      <c r="L77" s="34">
        <v>20</v>
      </c>
      <c r="M77" s="34">
        <v>3</v>
      </c>
      <c r="N77" s="34">
        <v>62</v>
      </c>
    </row>
    <row r="78" s="29" customFormat="1" ht="16.5" customHeight="1" spans="1:14">
      <c r="A78" s="31">
        <v>3461</v>
      </c>
      <c r="B78" s="31" t="s">
        <v>104</v>
      </c>
      <c r="C78" s="31" t="s">
        <v>26</v>
      </c>
      <c r="D78" s="32">
        <v>45578</v>
      </c>
      <c r="E78" s="33">
        <f t="shared" si="2"/>
        <v>10</v>
      </c>
      <c r="F78" s="31" t="s">
        <v>30</v>
      </c>
      <c r="G78" s="34">
        <v>15</v>
      </c>
      <c r="H78" s="31" t="s">
        <v>28</v>
      </c>
      <c r="I78" s="31" t="s">
        <v>27</v>
      </c>
      <c r="J78" s="34">
        <v>30</v>
      </c>
      <c r="K78" s="31" t="s">
        <v>27</v>
      </c>
      <c r="L78" s="34">
        <v>20</v>
      </c>
      <c r="M78" s="34">
        <v>15</v>
      </c>
      <c r="N78" s="34">
        <v>50</v>
      </c>
    </row>
    <row r="79" s="29" customFormat="1" ht="16.5" customHeight="1" spans="1:14">
      <c r="A79" s="31">
        <v>3464</v>
      </c>
      <c r="B79" s="31" t="s">
        <v>105</v>
      </c>
      <c r="C79" s="31" t="s">
        <v>26</v>
      </c>
      <c r="D79" s="32">
        <v>45581</v>
      </c>
      <c r="E79" s="33">
        <f t="shared" si="2"/>
        <v>10</v>
      </c>
      <c r="F79" s="31" t="s">
        <v>27</v>
      </c>
      <c r="G79" s="34">
        <v>15</v>
      </c>
      <c r="H79" s="31" t="s">
        <v>32</v>
      </c>
      <c r="I79" s="31" t="s">
        <v>27</v>
      </c>
      <c r="J79" s="34">
        <v>30</v>
      </c>
      <c r="K79" s="31" t="s">
        <v>27</v>
      </c>
      <c r="L79" s="34">
        <v>20</v>
      </c>
      <c r="M79" s="34">
        <v>7</v>
      </c>
      <c r="N79" s="34">
        <v>58</v>
      </c>
    </row>
    <row r="80" s="29" customFormat="1" ht="16.5" customHeight="1" spans="1:14">
      <c r="A80" s="31">
        <v>3467</v>
      </c>
      <c r="B80" s="31" t="s">
        <v>106</v>
      </c>
      <c r="C80" s="31" t="s">
        <v>26</v>
      </c>
      <c r="D80" s="32">
        <v>45584</v>
      </c>
      <c r="E80" s="33">
        <f t="shared" si="2"/>
        <v>10</v>
      </c>
      <c r="F80" s="31" t="s">
        <v>30</v>
      </c>
      <c r="G80" s="34">
        <v>15</v>
      </c>
      <c r="H80" s="31" t="s">
        <v>28</v>
      </c>
      <c r="I80" s="31" t="s">
        <v>27</v>
      </c>
      <c r="J80" s="34">
        <v>30</v>
      </c>
      <c r="K80" s="31" t="s">
        <v>27</v>
      </c>
      <c r="L80" s="34">
        <v>20</v>
      </c>
      <c r="M80" s="34">
        <v>15</v>
      </c>
      <c r="N80" s="34">
        <v>50</v>
      </c>
    </row>
    <row r="81" s="29" customFormat="1" ht="16.5" customHeight="1" spans="1:14">
      <c r="A81" s="31">
        <v>3470</v>
      </c>
      <c r="B81" s="31" t="s">
        <v>107</v>
      </c>
      <c r="C81" s="31" t="s">
        <v>26</v>
      </c>
      <c r="D81" s="32">
        <v>45587</v>
      </c>
      <c r="E81" s="33">
        <f t="shared" si="2"/>
        <v>10</v>
      </c>
      <c r="F81" s="31" t="s">
        <v>27</v>
      </c>
      <c r="G81" s="34">
        <v>15</v>
      </c>
      <c r="H81" s="31" t="s">
        <v>35</v>
      </c>
      <c r="I81" s="31" t="s">
        <v>27</v>
      </c>
      <c r="J81" s="34">
        <v>30</v>
      </c>
      <c r="K81" s="31" t="s">
        <v>27</v>
      </c>
      <c r="L81" s="34">
        <v>20</v>
      </c>
      <c r="M81" s="34">
        <v>5</v>
      </c>
      <c r="N81" s="34">
        <v>60</v>
      </c>
    </row>
    <row r="82" s="29" customFormat="1" ht="16.5" customHeight="1" spans="1:14">
      <c r="A82" s="31">
        <v>3473</v>
      </c>
      <c r="B82" s="31" t="s">
        <v>108</v>
      </c>
      <c r="C82" s="31" t="s">
        <v>26</v>
      </c>
      <c r="D82" s="32">
        <v>45590</v>
      </c>
      <c r="E82" s="33">
        <f t="shared" si="2"/>
        <v>10</v>
      </c>
      <c r="F82" s="31" t="s">
        <v>30</v>
      </c>
      <c r="G82" s="34">
        <v>15</v>
      </c>
      <c r="H82" s="31" t="s">
        <v>28</v>
      </c>
      <c r="I82" s="31" t="s">
        <v>27</v>
      </c>
      <c r="J82" s="34">
        <v>30</v>
      </c>
      <c r="K82" s="31" t="s">
        <v>27</v>
      </c>
      <c r="L82" s="34">
        <v>20</v>
      </c>
      <c r="M82" s="34">
        <v>3</v>
      </c>
      <c r="N82" s="34">
        <v>62</v>
      </c>
    </row>
    <row r="83" s="29" customFormat="1" ht="16.5" customHeight="1" spans="1:14">
      <c r="A83" s="31">
        <v>3476</v>
      </c>
      <c r="B83" s="31" t="s">
        <v>109</v>
      </c>
      <c r="C83" s="31" t="s">
        <v>26</v>
      </c>
      <c r="D83" s="32">
        <v>45593</v>
      </c>
      <c r="E83" s="33">
        <f t="shared" si="2"/>
        <v>10</v>
      </c>
      <c r="F83" s="31" t="s">
        <v>27</v>
      </c>
      <c r="G83" s="34">
        <v>15</v>
      </c>
      <c r="H83" s="31" t="s">
        <v>32</v>
      </c>
      <c r="I83" s="31" t="s">
        <v>27</v>
      </c>
      <c r="J83" s="34">
        <v>30</v>
      </c>
      <c r="K83" s="31" t="s">
        <v>27</v>
      </c>
      <c r="L83" s="34">
        <v>20</v>
      </c>
      <c r="M83" s="34">
        <v>7</v>
      </c>
      <c r="N83" s="34">
        <v>58</v>
      </c>
    </row>
    <row r="84" s="29" customFormat="1" ht="16.5" customHeight="1" spans="1:14">
      <c r="A84" s="31">
        <v>3479</v>
      </c>
      <c r="B84" s="31" t="s">
        <v>110</v>
      </c>
      <c r="C84" s="31" t="s">
        <v>26</v>
      </c>
      <c r="D84" s="32">
        <v>45596</v>
      </c>
      <c r="E84" s="33">
        <f t="shared" si="2"/>
        <v>10</v>
      </c>
      <c r="F84" s="31" t="s">
        <v>30</v>
      </c>
      <c r="G84" s="34">
        <v>15</v>
      </c>
      <c r="H84" s="31" t="s">
        <v>28</v>
      </c>
      <c r="I84" s="31" t="s">
        <v>27</v>
      </c>
      <c r="J84" s="34">
        <v>30</v>
      </c>
      <c r="K84" s="31" t="s">
        <v>27</v>
      </c>
      <c r="L84" s="34">
        <v>20</v>
      </c>
      <c r="M84" s="34">
        <v>20</v>
      </c>
      <c r="N84" s="34">
        <v>45</v>
      </c>
    </row>
    <row r="85" s="29" customFormat="1" ht="16.5" customHeight="1" spans="1:14">
      <c r="A85" s="31">
        <v>3482</v>
      </c>
      <c r="B85" s="31" t="s">
        <v>111</v>
      </c>
      <c r="C85" s="31" t="s">
        <v>26</v>
      </c>
      <c r="D85" s="32">
        <v>45599</v>
      </c>
      <c r="E85" s="33">
        <f t="shared" si="2"/>
        <v>11</v>
      </c>
      <c r="F85" s="31" t="s">
        <v>27</v>
      </c>
      <c r="G85" s="34">
        <v>15</v>
      </c>
      <c r="H85" s="31" t="s">
        <v>35</v>
      </c>
      <c r="I85" s="31" t="s">
        <v>27</v>
      </c>
      <c r="J85" s="34">
        <v>30</v>
      </c>
      <c r="K85" s="31" t="s">
        <v>27</v>
      </c>
      <c r="L85" s="34">
        <v>20</v>
      </c>
      <c r="M85" s="34">
        <v>3</v>
      </c>
      <c r="N85" s="34">
        <v>62</v>
      </c>
    </row>
    <row r="86" s="29" customFormat="1" ht="16.5" customHeight="1" spans="1:14">
      <c r="A86" s="31">
        <v>3485</v>
      </c>
      <c r="B86" s="31" t="s">
        <v>112</v>
      </c>
      <c r="C86" s="31" t="s">
        <v>26</v>
      </c>
      <c r="D86" s="32">
        <v>45602</v>
      </c>
      <c r="E86" s="33">
        <f t="shared" si="2"/>
        <v>11</v>
      </c>
      <c r="F86" s="31" t="s">
        <v>30</v>
      </c>
      <c r="G86" s="34">
        <v>15</v>
      </c>
      <c r="H86" s="31" t="s">
        <v>28</v>
      </c>
      <c r="I86" s="31" t="s">
        <v>27</v>
      </c>
      <c r="J86" s="34">
        <v>30</v>
      </c>
      <c r="K86" s="31" t="s">
        <v>27</v>
      </c>
      <c r="L86" s="34">
        <v>20</v>
      </c>
      <c r="M86" s="34">
        <v>15</v>
      </c>
      <c r="N86" s="34">
        <v>50</v>
      </c>
    </row>
    <row r="87" s="29" customFormat="1" ht="16.5" customHeight="1" spans="1:14">
      <c r="A87" s="31">
        <v>3487</v>
      </c>
      <c r="B87" s="31" t="s">
        <v>113</v>
      </c>
      <c r="C87" s="31" t="s">
        <v>26</v>
      </c>
      <c r="D87" s="32">
        <v>45604</v>
      </c>
      <c r="E87" s="33">
        <f t="shared" si="2"/>
        <v>11</v>
      </c>
      <c r="F87" s="31" t="s">
        <v>30</v>
      </c>
      <c r="G87" s="34">
        <v>15</v>
      </c>
      <c r="H87" s="31" t="s">
        <v>32</v>
      </c>
      <c r="I87" s="31" t="s">
        <v>27</v>
      </c>
      <c r="J87" s="34">
        <v>30</v>
      </c>
      <c r="K87" s="31" t="s">
        <v>27</v>
      </c>
      <c r="L87" s="34">
        <v>20</v>
      </c>
      <c r="M87" s="34">
        <v>7</v>
      </c>
      <c r="N87" s="34">
        <v>58</v>
      </c>
    </row>
    <row r="88" s="29" customFormat="1" ht="16.5" customHeight="1" spans="1:14">
      <c r="A88" s="31">
        <v>3490</v>
      </c>
      <c r="B88" s="31" t="s">
        <v>114</v>
      </c>
      <c r="C88" s="31" t="s">
        <v>26</v>
      </c>
      <c r="D88" s="32">
        <v>45607</v>
      </c>
      <c r="E88" s="33">
        <f t="shared" si="2"/>
        <v>11</v>
      </c>
      <c r="F88" s="31" t="s">
        <v>27</v>
      </c>
      <c r="G88" s="34">
        <v>15</v>
      </c>
      <c r="H88" s="31" t="s">
        <v>28</v>
      </c>
      <c r="I88" s="31" t="s">
        <v>27</v>
      </c>
      <c r="J88" s="34">
        <v>30</v>
      </c>
      <c r="K88" s="31" t="s">
        <v>27</v>
      </c>
      <c r="L88" s="34">
        <v>20</v>
      </c>
      <c r="M88" s="34">
        <v>15</v>
      </c>
      <c r="N88" s="34">
        <v>50</v>
      </c>
    </row>
    <row r="89" s="29" customFormat="1" ht="16.5" customHeight="1" spans="1:14">
      <c r="A89" s="31">
        <v>3493</v>
      </c>
      <c r="B89" s="31" t="s">
        <v>115</v>
      </c>
      <c r="C89" s="31" t="s">
        <v>26</v>
      </c>
      <c r="D89" s="32">
        <v>45610</v>
      </c>
      <c r="E89" s="33">
        <f t="shared" si="2"/>
        <v>11</v>
      </c>
      <c r="F89" s="31" t="s">
        <v>30</v>
      </c>
      <c r="G89" s="34">
        <v>15</v>
      </c>
      <c r="H89" s="31" t="s">
        <v>32</v>
      </c>
      <c r="I89" s="31" t="s">
        <v>27</v>
      </c>
      <c r="J89" s="34">
        <v>30</v>
      </c>
      <c r="K89" s="31" t="s">
        <v>27</v>
      </c>
      <c r="L89" s="34">
        <v>20</v>
      </c>
      <c r="M89" s="34">
        <v>20</v>
      </c>
      <c r="N89" s="34">
        <v>45</v>
      </c>
    </row>
    <row r="90" s="29" customFormat="1" ht="16.5" customHeight="1" spans="1:14">
      <c r="A90" s="31">
        <v>3496</v>
      </c>
      <c r="B90" s="31" t="s">
        <v>116</v>
      </c>
      <c r="C90" s="31" t="s">
        <v>26</v>
      </c>
      <c r="D90" s="32">
        <v>45613</v>
      </c>
      <c r="E90" s="33">
        <f t="shared" si="2"/>
        <v>11</v>
      </c>
      <c r="F90" s="31" t="s">
        <v>27</v>
      </c>
      <c r="G90" s="34">
        <v>15</v>
      </c>
      <c r="H90" s="31" t="s">
        <v>35</v>
      </c>
      <c r="I90" s="31" t="s">
        <v>27</v>
      </c>
      <c r="J90" s="34">
        <v>30</v>
      </c>
      <c r="K90" s="31" t="s">
        <v>27</v>
      </c>
      <c r="L90" s="34">
        <v>20</v>
      </c>
      <c r="M90" s="34">
        <v>5</v>
      </c>
      <c r="N90" s="34">
        <v>60</v>
      </c>
    </row>
    <row r="91" s="29" customFormat="1" ht="16.5" customHeight="1" spans="1:14">
      <c r="A91" s="31">
        <v>3499</v>
      </c>
      <c r="B91" s="31" t="s">
        <v>117</v>
      </c>
      <c r="C91" s="31" t="s">
        <v>26</v>
      </c>
      <c r="D91" s="32">
        <v>45616</v>
      </c>
      <c r="E91" s="33">
        <f t="shared" si="2"/>
        <v>11</v>
      </c>
      <c r="F91" s="31" t="s">
        <v>30</v>
      </c>
      <c r="G91" s="34">
        <v>15</v>
      </c>
      <c r="H91" s="31" t="s">
        <v>28</v>
      </c>
      <c r="I91" s="31" t="s">
        <v>27</v>
      </c>
      <c r="J91" s="34">
        <v>30</v>
      </c>
      <c r="K91" s="31" t="s">
        <v>27</v>
      </c>
      <c r="L91" s="34">
        <v>20</v>
      </c>
      <c r="M91" s="34">
        <v>3</v>
      </c>
      <c r="N91" s="34">
        <v>62</v>
      </c>
    </row>
    <row r="92" s="29" customFormat="1" ht="16.5" customHeight="1" spans="1:14">
      <c r="A92" s="31">
        <v>3502</v>
      </c>
      <c r="B92" s="31" t="s">
        <v>118</v>
      </c>
      <c r="C92" s="31" t="s">
        <v>26</v>
      </c>
      <c r="D92" s="32">
        <v>45619</v>
      </c>
      <c r="E92" s="33">
        <f t="shared" si="2"/>
        <v>11</v>
      </c>
      <c r="F92" s="31" t="s">
        <v>27</v>
      </c>
      <c r="G92" s="34">
        <v>15</v>
      </c>
      <c r="H92" s="31" t="s">
        <v>32</v>
      </c>
      <c r="I92" s="31" t="s">
        <v>27</v>
      </c>
      <c r="J92" s="34">
        <v>30</v>
      </c>
      <c r="K92" s="31" t="s">
        <v>27</v>
      </c>
      <c r="L92" s="34">
        <v>20</v>
      </c>
      <c r="M92" s="34">
        <v>7</v>
      </c>
      <c r="N92" s="34">
        <v>58</v>
      </c>
    </row>
    <row r="93" s="29" customFormat="1" ht="16.5" customHeight="1" spans="1:14">
      <c r="A93" s="31">
        <v>3505</v>
      </c>
      <c r="B93" s="31" t="s">
        <v>119</v>
      </c>
      <c r="C93" s="31" t="s">
        <v>26</v>
      </c>
      <c r="D93" s="32">
        <v>45622</v>
      </c>
      <c r="E93" s="33">
        <f t="shared" si="2"/>
        <v>11</v>
      </c>
      <c r="F93" s="31" t="s">
        <v>30</v>
      </c>
      <c r="G93" s="34">
        <v>15</v>
      </c>
      <c r="H93" s="31" t="s">
        <v>28</v>
      </c>
      <c r="I93" s="31" t="s">
        <v>27</v>
      </c>
      <c r="J93" s="34">
        <v>30</v>
      </c>
      <c r="K93" s="31" t="s">
        <v>27</v>
      </c>
      <c r="L93" s="34">
        <v>20</v>
      </c>
      <c r="M93" s="34">
        <v>20</v>
      </c>
      <c r="N93" s="34">
        <v>45</v>
      </c>
    </row>
    <row r="94" s="29" customFormat="1" ht="16.5" customHeight="1" spans="1:14">
      <c r="A94" s="31">
        <v>3508</v>
      </c>
      <c r="B94" s="31" t="s">
        <v>120</v>
      </c>
      <c r="C94" s="31" t="s">
        <v>26</v>
      </c>
      <c r="D94" s="32">
        <v>45625</v>
      </c>
      <c r="E94" s="33">
        <f t="shared" si="2"/>
        <v>11</v>
      </c>
      <c r="F94" s="31" t="s">
        <v>27</v>
      </c>
      <c r="G94" s="34">
        <v>15</v>
      </c>
      <c r="H94" s="31" t="s">
        <v>35</v>
      </c>
      <c r="I94" s="31" t="s">
        <v>27</v>
      </c>
      <c r="J94" s="34">
        <v>30</v>
      </c>
      <c r="K94" s="31" t="s">
        <v>27</v>
      </c>
      <c r="L94" s="34">
        <v>20</v>
      </c>
      <c r="M94" s="34">
        <v>3</v>
      </c>
      <c r="N94" s="34">
        <v>62</v>
      </c>
    </row>
    <row r="95" s="29" customFormat="1" ht="16.5" customHeight="1" spans="1:14">
      <c r="A95" s="31">
        <v>3511</v>
      </c>
      <c r="B95" s="31" t="s">
        <v>121</v>
      </c>
      <c r="C95" s="31" t="s">
        <v>26</v>
      </c>
      <c r="D95" s="32">
        <v>45628</v>
      </c>
      <c r="E95" s="33">
        <f t="shared" si="2"/>
        <v>12</v>
      </c>
      <c r="F95" s="31" t="s">
        <v>30</v>
      </c>
      <c r="G95" s="34">
        <v>15</v>
      </c>
      <c r="H95" s="31" t="s">
        <v>28</v>
      </c>
      <c r="I95" s="31" t="s">
        <v>27</v>
      </c>
      <c r="J95" s="34">
        <v>30</v>
      </c>
      <c r="K95" s="31" t="s">
        <v>27</v>
      </c>
      <c r="L95" s="34">
        <v>20</v>
      </c>
      <c r="M95" s="34">
        <v>15</v>
      </c>
      <c r="N95" s="34">
        <v>50</v>
      </c>
    </row>
    <row r="96" s="29" customFormat="1" ht="16.5" customHeight="1" spans="1:14">
      <c r="A96" s="31">
        <v>3514</v>
      </c>
      <c r="B96" s="31" t="s">
        <v>122</v>
      </c>
      <c r="C96" s="31" t="s">
        <v>26</v>
      </c>
      <c r="D96" s="32">
        <v>45631</v>
      </c>
      <c r="E96" s="33">
        <f t="shared" si="2"/>
        <v>12</v>
      </c>
      <c r="F96" s="31" t="s">
        <v>27</v>
      </c>
      <c r="G96" s="34">
        <v>15</v>
      </c>
      <c r="H96" s="31" t="s">
        <v>32</v>
      </c>
      <c r="I96" s="31" t="s">
        <v>27</v>
      </c>
      <c r="J96" s="34">
        <v>30</v>
      </c>
      <c r="K96" s="31" t="s">
        <v>27</v>
      </c>
      <c r="L96" s="34">
        <v>20</v>
      </c>
      <c r="M96" s="34">
        <v>7</v>
      </c>
      <c r="N96" s="34">
        <v>58</v>
      </c>
    </row>
    <row r="97" s="29" customFormat="1" ht="16.5" customHeight="1" spans="1:14">
      <c r="A97" s="31">
        <v>3517</v>
      </c>
      <c r="B97" s="31" t="s">
        <v>123</v>
      </c>
      <c r="C97" s="31" t="s">
        <v>26</v>
      </c>
      <c r="D97" s="32">
        <v>45634</v>
      </c>
      <c r="E97" s="33">
        <f t="shared" si="2"/>
        <v>12</v>
      </c>
      <c r="F97" s="31" t="s">
        <v>30</v>
      </c>
      <c r="G97" s="34">
        <v>15</v>
      </c>
      <c r="H97" s="31" t="s">
        <v>28</v>
      </c>
      <c r="I97" s="31" t="s">
        <v>27</v>
      </c>
      <c r="J97" s="34">
        <v>30</v>
      </c>
      <c r="K97" s="31" t="s">
        <v>27</v>
      </c>
      <c r="L97" s="34">
        <v>20</v>
      </c>
      <c r="M97" s="34">
        <v>20</v>
      </c>
      <c r="N97" s="34">
        <v>45</v>
      </c>
    </row>
    <row r="98" s="29" customFormat="1" ht="16.5" customHeight="1" spans="1:14">
      <c r="A98" s="31">
        <v>3520</v>
      </c>
      <c r="B98" s="31" t="s">
        <v>124</v>
      </c>
      <c r="C98" s="31" t="s">
        <v>26</v>
      </c>
      <c r="D98" s="32">
        <v>45637</v>
      </c>
      <c r="E98" s="33">
        <f t="shared" si="2"/>
        <v>12</v>
      </c>
      <c r="F98" s="31" t="s">
        <v>27</v>
      </c>
      <c r="G98" s="34">
        <v>15</v>
      </c>
      <c r="H98" s="31" t="s">
        <v>35</v>
      </c>
      <c r="I98" s="31" t="s">
        <v>27</v>
      </c>
      <c r="J98" s="34">
        <v>30</v>
      </c>
      <c r="K98" s="31" t="s">
        <v>27</v>
      </c>
      <c r="L98" s="34">
        <v>20</v>
      </c>
      <c r="M98" s="34">
        <v>5</v>
      </c>
      <c r="N98" s="34">
        <v>60</v>
      </c>
    </row>
    <row r="99" s="29" customFormat="1" ht="16.5" customHeight="1" spans="1:14">
      <c r="A99" s="31">
        <v>3523</v>
      </c>
      <c r="B99" s="31" t="s">
        <v>125</v>
      </c>
      <c r="C99" s="31" t="s">
        <v>26</v>
      </c>
      <c r="D99" s="32">
        <v>45640</v>
      </c>
      <c r="E99" s="33">
        <f t="shared" si="2"/>
        <v>12</v>
      </c>
      <c r="F99" s="31" t="s">
        <v>30</v>
      </c>
      <c r="G99" s="34">
        <v>15</v>
      </c>
      <c r="H99" s="31" t="s">
        <v>28</v>
      </c>
      <c r="I99" s="31" t="s">
        <v>27</v>
      </c>
      <c r="J99" s="34">
        <v>30</v>
      </c>
      <c r="K99" s="31" t="s">
        <v>27</v>
      </c>
      <c r="L99" s="34">
        <v>20</v>
      </c>
      <c r="M99" s="34">
        <v>3</v>
      </c>
      <c r="N99" s="34">
        <v>62</v>
      </c>
    </row>
    <row r="1048380" customFormat="1" ht="12.75"/>
    <row r="1048381" customFormat="1" ht="12.75"/>
    <row r="1048382" customFormat="1" ht="12.75"/>
    <row r="1048383" customFormat="1" ht="12.75"/>
    <row r="1048384" customFormat="1" ht="12.75"/>
    <row r="1048385" customFormat="1" ht="12.75"/>
    <row r="1048386" customFormat="1" ht="12.75"/>
    <row r="1048387" customFormat="1" ht="12.75"/>
    <row r="1048388" customFormat="1" ht="12.75"/>
    <row r="1048389" customFormat="1" ht="12.75"/>
    <row r="1048390" customFormat="1" ht="12.75"/>
    <row r="1048391" customFormat="1" ht="12.75"/>
    <row r="1048392" customFormat="1" ht="12.75"/>
    <row r="1048393" customFormat="1" ht="12.75"/>
    <row r="1048394" customFormat="1" ht="12.75"/>
    <row r="1048395" customFormat="1" ht="12.75"/>
    <row r="1048396" customFormat="1" ht="12.75"/>
    <row r="1048397" customFormat="1" ht="12.75"/>
    <row r="1048398" customFormat="1" ht="12.75"/>
    <row r="1048399" customFormat="1" ht="12.75"/>
    <row r="1048400" customFormat="1" ht="12.75"/>
    <row r="1048401" customFormat="1" ht="12.75"/>
    <row r="1048402" customFormat="1" ht="12.75"/>
    <row r="1048403" customFormat="1" ht="12.75"/>
    <row r="1048404" customFormat="1" ht="12.75"/>
    <row r="1048405" customFormat="1" ht="12.75"/>
    <row r="1048406" customFormat="1" ht="12.75"/>
    <row r="1048407" customFormat="1" ht="12.75"/>
    <row r="1048408" customFormat="1" ht="12.75"/>
    <row r="1048409" customFormat="1" ht="12.75"/>
    <row r="1048410" customFormat="1" ht="12.75"/>
    <row r="1048411" customFormat="1" ht="12.75"/>
    <row r="1048412" customFormat="1" ht="12.75"/>
    <row r="1048413" customFormat="1" ht="12.75"/>
    <row r="1048414" customFormat="1" ht="12.75"/>
    <row r="1048415" customFormat="1" ht="12.75"/>
    <row r="1048416" customFormat="1" ht="12.75"/>
    <row r="1048417" customFormat="1" ht="12.75"/>
    <row r="1048418" customFormat="1" ht="12.75"/>
    <row r="1048419" customFormat="1" ht="12.75"/>
    <row r="1048420" customFormat="1" ht="12.75"/>
    <row r="1048421" customFormat="1" ht="12.75"/>
    <row r="1048422" customFormat="1" ht="12.75"/>
    <row r="1048423" customFormat="1" ht="12.75"/>
    <row r="1048424" customFormat="1" ht="12.75"/>
    <row r="1048425" customFormat="1" ht="12.75"/>
    <row r="1048426" customFormat="1" ht="12.75"/>
    <row r="1048427" customFormat="1" ht="12.75"/>
    <row r="1048428" customFormat="1" ht="12.75"/>
    <row r="1048429" customFormat="1" ht="12.75"/>
    <row r="1048430" customFormat="1" ht="12.75"/>
    <row r="1048431" customFormat="1" ht="12.75"/>
    <row r="1048432" customFormat="1" ht="12.75"/>
    <row r="1048433" customFormat="1" ht="12.75"/>
    <row r="1048434" customFormat="1" ht="12.75"/>
    <row r="1048435" customFormat="1" ht="12.75"/>
    <row r="1048436" customFormat="1" ht="12.75"/>
    <row r="1048437" customFormat="1" ht="12.75"/>
    <row r="1048438" customFormat="1" ht="12.75"/>
    <row r="1048439" customFormat="1" ht="12.75"/>
    <row r="1048440" customFormat="1" ht="12.75"/>
    <row r="1048441" customFormat="1" ht="12.75"/>
    <row r="1048442" customFormat="1" ht="12.75"/>
    <row r="1048443" customFormat="1" ht="12.75"/>
    <row r="1048444" customFormat="1" ht="12.75"/>
    <row r="1048445" customFormat="1" ht="12.75"/>
    <row r="1048446" customFormat="1" ht="12.75"/>
    <row r="1048447" customFormat="1" ht="12.75"/>
    <row r="1048448" customFormat="1" ht="12.75"/>
    <row r="1048449" customFormat="1" ht="12.75"/>
    <row r="1048450" customFormat="1" ht="12.75"/>
    <row r="1048451" customFormat="1" ht="12.75"/>
    <row r="1048452" customFormat="1" ht="12.75"/>
    <row r="1048453" customFormat="1" ht="12.75"/>
    <row r="1048454" customFormat="1" ht="12.75"/>
    <row r="1048455" customFormat="1" ht="12.75"/>
    <row r="1048456" customFormat="1" ht="12.75"/>
    <row r="1048457" customFormat="1" ht="12.75"/>
    <row r="1048458" customFormat="1" ht="12.75"/>
    <row r="1048459" customFormat="1" ht="12.75"/>
    <row r="1048460" customFormat="1" ht="12.75"/>
    <row r="1048461" customFormat="1" ht="12.75"/>
    <row r="1048462" customFormat="1" ht="12.75"/>
    <row r="1048463" customFormat="1" ht="12.75"/>
    <row r="1048464" customFormat="1" ht="12.75"/>
    <row r="1048465" customFormat="1" ht="12.75"/>
    <row r="1048466" customFormat="1" ht="12.75"/>
    <row r="1048467" customFormat="1" ht="12.75"/>
    <row r="1048468" customFormat="1" ht="12.75"/>
    <row r="1048469" customFormat="1" ht="12.75"/>
    <row r="1048470" customFormat="1" ht="12.75"/>
    <row r="1048471" customFormat="1" ht="12.75"/>
    <row r="1048472" customFormat="1" ht="12.75"/>
    <row r="1048473" customFormat="1" ht="12.75"/>
    <row r="1048474" customFormat="1" ht="12.75"/>
    <row r="1048475" customFormat="1" ht="12.75"/>
    <row r="1048476" customFormat="1" ht="12.75"/>
    <row r="1048477" customFormat="1" ht="12.75"/>
    <row r="1048478" customFormat="1" ht="12.75"/>
    <row r="1048479" customFormat="1" ht="12.75"/>
    <row r="1048480" customFormat="1" ht="12.75"/>
    <row r="1048481" customFormat="1" ht="12.75"/>
    <row r="1048482" customFormat="1" ht="12.75"/>
    <row r="1048483" customFormat="1" ht="12.75"/>
    <row r="1048484" customFormat="1" ht="12.75"/>
    <row r="1048485" customFormat="1" ht="12.75"/>
    <row r="1048486" customFormat="1" ht="12.75"/>
    <row r="1048487" customFormat="1" ht="12.75"/>
    <row r="1048488" customFormat="1" ht="12.75"/>
    <row r="1048489" customFormat="1" ht="12.75"/>
    <row r="1048490" customFormat="1" ht="12.75"/>
    <row r="1048491" customFormat="1" ht="12.75"/>
    <row r="1048492" customFormat="1" ht="12.75"/>
    <row r="1048493" customFormat="1" ht="12.75"/>
    <row r="1048494" customFormat="1" ht="12.75"/>
    <row r="1048495" customFormat="1" ht="12.75"/>
    <row r="1048496" customFormat="1" ht="12.75"/>
    <row r="1048497" customFormat="1" ht="12.75"/>
    <row r="1048498" customFormat="1" ht="12.75"/>
    <row r="1048499" customFormat="1" ht="12.75"/>
    <row r="1048500" customFormat="1" ht="12.75"/>
    <row r="1048501" customFormat="1" ht="12.75"/>
    <row r="1048502" customFormat="1" ht="12.75"/>
    <row r="1048503" customFormat="1" ht="12.75"/>
    <row r="1048504" customFormat="1" ht="12.75"/>
    <row r="1048505" customFormat="1" ht="12.75"/>
    <row r="1048506" customFormat="1" ht="12.75"/>
    <row r="1048507" customFormat="1" ht="12.75"/>
    <row r="1048508" customFormat="1" ht="12.75"/>
    <row r="1048509" customFormat="1" ht="12.75"/>
    <row r="1048510" customFormat="1" ht="12.75"/>
    <row r="1048511" customFormat="1" ht="12.75"/>
    <row r="1048512" customFormat="1" ht="12.75"/>
    <row r="1048513" customFormat="1" ht="12.75"/>
    <row r="1048514" customFormat="1" ht="12.75"/>
    <row r="1048515" customFormat="1" ht="12.75"/>
    <row r="1048516" customFormat="1" ht="12.75"/>
    <row r="1048517" customFormat="1" ht="12.75"/>
    <row r="1048518" customFormat="1" ht="12.75"/>
    <row r="1048519" customFormat="1" ht="12.75"/>
    <row r="1048520" customFormat="1" ht="12.75"/>
    <row r="1048521" customFormat="1" ht="12.75"/>
    <row r="1048522" customFormat="1" ht="12.75"/>
    <row r="1048523" customFormat="1" ht="12.75"/>
    <row r="1048524" customFormat="1" ht="12.75"/>
    <row r="1048525" customFormat="1" ht="12.75"/>
    <row r="1048526" customFormat="1" ht="12.75"/>
    <row r="1048527" customFormat="1" ht="12.75"/>
    <row r="1048528" customFormat="1" ht="12.75"/>
    <row r="1048529" customFormat="1" ht="12.75"/>
    <row r="1048530" customFormat="1" ht="12.75"/>
    <row r="1048531" customFormat="1" ht="12.75"/>
    <row r="1048532" customFormat="1" ht="12.75"/>
    <row r="1048533" customFormat="1" ht="12.75"/>
    <row r="1048534" customFormat="1" ht="12.75"/>
    <row r="1048535" customFormat="1" ht="12.75"/>
    <row r="1048536" customFormat="1" ht="12.75"/>
    <row r="1048537" customFormat="1" ht="12.75"/>
    <row r="1048538" customFormat="1" ht="12.75"/>
    <row r="1048539" customFormat="1" ht="12.75"/>
    <row r="1048540" customFormat="1" ht="12.75"/>
    <row r="1048541" customFormat="1" ht="12.75"/>
    <row r="1048542" customFormat="1" ht="12.75"/>
    <row r="1048543" customFormat="1" ht="12.75"/>
    <row r="1048544" customFormat="1" ht="12.75"/>
    <row r="1048545" customFormat="1" ht="12.75"/>
    <row r="1048546" customFormat="1" ht="12.75"/>
    <row r="1048547" customFormat="1" ht="12.75"/>
    <row r="1048548" customFormat="1" ht="12.75"/>
    <row r="1048549" customFormat="1" ht="12.75"/>
    <row r="1048550" customFormat="1" ht="12.75"/>
    <row r="1048551" customFormat="1" ht="12.75"/>
    <row r="1048552" customFormat="1" ht="12.75"/>
    <row r="1048553" customFormat="1" ht="12.75"/>
    <row r="1048554" customFormat="1" ht="12.75"/>
    <row r="1048555" customFormat="1" ht="12.75"/>
    <row r="1048556" customFormat="1" ht="12.75"/>
    <row r="1048557" customFormat="1" ht="12.75"/>
    <row r="1048558" customFormat="1" ht="12.75"/>
    <row r="1048559" customFormat="1" ht="12.75"/>
    <row r="1048560" customFormat="1" ht="12.75"/>
    <row r="1048561" customFormat="1" ht="12.75"/>
    <row r="1048562" customFormat="1" ht="12.75"/>
    <row r="1048563" customFormat="1" ht="12.75"/>
    <row r="1048564" customFormat="1" ht="12.75"/>
    <row r="1048565" customFormat="1" ht="12.75"/>
    <row r="1048566" customFormat="1" ht="12.75"/>
    <row r="1048567" customFormat="1" ht="12.75"/>
    <row r="1048568" customFormat="1" ht="12.75"/>
    <row r="1048569" customFormat="1" ht="12.75"/>
    <row r="1048570" customFormat="1" ht="12.75"/>
    <row r="1048571" customFormat="1" ht="12.75"/>
    <row r="1048572" customFormat="1" ht="12.75"/>
    <row r="1048573" customFormat="1" ht="12.75"/>
    <row r="1048574" customFormat="1" ht="12.75"/>
    <row r="1048575" customFormat="1" ht="12.75"/>
    <row r="1048576" customFormat="1" ht="12.75"/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5"/>
  <sheetViews>
    <sheetView showGridLines="0" topLeftCell="A31" workbookViewId="0">
      <selection activeCell="J29" sqref="J29"/>
    </sheetView>
  </sheetViews>
  <sheetFormatPr defaultColWidth="9.14285714285714" defaultRowHeight="12.75" outlineLevelCol="2"/>
  <cols>
    <col min="1" max="1" width="9.71428571428571"/>
    <col min="2" max="2" width="18.2857142857143"/>
    <col min="3" max="3" width="33.4285714285714"/>
    <col min="4" max="16" width="11.2857142857143"/>
    <col min="17" max="17" width="10"/>
  </cols>
  <sheetData>
    <row r="3" ht="15.75" spans="1:1">
      <c r="A3" s="12" t="s">
        <v>126</v>
      </c>
    </row>
    <row r="4" ht="15.75" spans="1:1">
      <c r="A4" s="12" t="s">
        <v>127</v>
      </c>
    </row>
    <row r="5" ht="15.75" spans="1:1">
      <c r="A5" s="12"/>
    </row>
    <row r="6" spans="1:2">
      <c r="A6" t="s">
        <v>18</v>
      </c>
      <c r="B6" t="s">
        <v>28</v>
      </c>
    </row>
    <row r="8" spans="1:2">
      <c r="A8" t="s">
        <v>16</v>
      </c>
      <c r="B8" t="s">
        <v>128</v>
      </c>
    </row>
    <row r="9" spans="1:2">
      <c r="A9" t="s">
        <v>30</v>
      </c>
      <c r="B9" s="13">
        <v>1836</v>
      </c>
    </row>
    <row r="10" spans="1:2">
      <c r="A10" t="s">
        <v>27</v>
      </c>
      <c r="B10" s="13">
        <v>585</v>
      </c>
    </row>
    <row r="11" spans="1:2">
      <c r="A11" t="s">
        <v>129</v>
      </c>
      <c r="B11" s="13">
        <v>2421</v>
      </c>
    </row>
    <row r="13" ht="15.75" spans="1:1">
      <c r="A13" s="12" t="s">
        <v>130</v>
      </c>
    </row>
    <row r="16" spans="1:3">
      <c r="A16" t="s">
        <v>18</v>
      </c>
      <c r="B16" t="s">
        <v>28</v>
      </c>
      <c r="C16" s="14">
        <f>GETPIVOTDATA("EA Play Season Pass
Price",$B$20)</f>
        <v>1350</v>
      </c>
    </row>
    <row r="18" spans="1:2">
      <c r="A18" t="s">
        <v>13</v>
      </c>
      <c r="B18" t="s">
        <v>131</v>
      </c>
    </row>
    <row r="19" spans="1:2">
      <c r="A19" t="s">
        <v>26</v>
      </c>
      <c r="B19" s="13">
        <v>1350</v>
      </c>
    </row>
    <row r="20" spans="1:2">
      <c r="A20" t="s">
        <v>129</v>
      </c>
      <c r="B20" s="13">
        <v>1350</v>
      </c>
    </row>
    <row r="22" spans="2:2">
      <c r="B22" s="15"/>
    </row>
    <row r="23" ht="15.75" spans="1:3">
      <c r="A23" s="12" t="s">
        <v>132</v>
      </c>
      <c r="C23" s="15"/>
    </row>
    <row r="25" spans="1:2">
      <c r="A25" t="s">
        <v>18</v>
      </c>
      <c r="B25" t="s">
        <v>28</v>
      </c>
    </row>
    <row r="27" spans="1:2">
      <c r="A27" t="s">
        <v>13</v>
      </c>
      <c r="B27" t="s">
        <v>133</v>
      </c>
    </row>
    <row r="28" spans="1:2">
      <c r="A28" t="s">
        <v>26</v>
      </c>
      <c r="B28" s="13">
        <v>900</v>
      </c>
    </row>
    <row r="29" spans="1:3">
      <c r="A29" t="s">
        <v>129</v>
      </c>
      <c r="B29" s="13">
        <v>900</v>
      </c>
      <c r="C29" s="14">
        <f>GETPIVOTDATA("Minecraft Season Pass Price",$B$29)</f>
        <v>900</v>
      </c>
    </row>
    <row r="30" spans="3:3">
      <c r="C30" s="15"/>
    </row>
    <row r="32" ht="15.75" spans="1:1">
      <c r="A32" s="12" t="s">
        <v>134</v>
      </c>
    </row>
    <row r="33" ht="15.75" spans="1:1">
      <c r="A33" s="12"/>
    </row>
    <row r="34" spans="1:2">
      <c r="A34" t="s">
        <v>15</v>
      </c>
      <c r="B34" t="s">
        <v>128</v>
      </c>
    </row>
    <row r="35" spans="1:2">
      <c r="A35">
        <v>1</v>
      </c>
      <c r="B35" s="13">
        <v>60</v>
      </c>
    </row>
    <row r="36" spans="1:2">
      <c r="A36">
        <v>2</v>
      </c>
      <c r="B36" s="13">
        <v>62</v>
      </c>
    </row>
    <row r="37" spans="1:2">
      <c r="A37">
        <v>3</v>
      </c>
      <c r="B37" s="13">
        <v>562</v>
      </c>
    </row>
    <row r="38" spans="1:2">
      <c r="A38">
        <v>4</v>
      </c>
      <c r="B38" s="13">
        <v>545</v>
      </c>
    </row>
    <row r="39" spans="1:2">
      <c r="A39">
        <v>5</v>
      </c>
      <c r="B39" s="13">
        <v>545</v>
      </c>
    </row>
    <row r="40" spans="1:2">
      <c r="A40">
        <v>6</v>
      </c>
      <c r="B40" s="13">
        <v>531</v>
      </c>
    </row>
    <row r="41" spans="1:2">
      <c r="A41">
        <v>7</v>
      </c>
      <c r="B41" s="13">
        <v>548</v>
      </c>
    </row>
    <row r="42" spans="1:2">
      <c r="A42">
        <v>8</v>
      </c>
      <c r="B42" s="13">
        <v>550</v>
      </c>
    </row>
    <row r="43" spans="1:2">
      <c r="A43">
        <v>9</v>
      </c>
      <c r="B43" s="13">
        <v>548</v>
      </c>
    </row>
    <row r="44" spans="1:2">
      <c r="A44" s="16">
        <v>10</v>
      </c>
      <c r="B44" s="17">
        <v>610</v>
      </c>
    </row>
    <row r="45" spans="1:2">
      <c r="A45">
        <v>11</v>
      </c>
      <c r="B45" s="13">
        <v>552</v>
      </c>
    </row>
    <row r="46" spans="1:2">
      <c r="A46">
        <v>12</v>
      </c>
      <c r="B46" s="13">
        <v>275</v>
      </c>
    </row>
    <row r="47" spans="1:2">
      <c r="A47" t="s">
        <v>129</v>
      </c>
      <c r="B47" s="13">
        <v>5388</v>
      </c>
    </row>
    <row r="50" ht="15.75" spans="1:1">
      <c r="A50" s="12" t="s">
        <v>135</v>
      </c>
    </row>
    <row r="51" ht="15.75" spans="1:1">
      <c r="A51" s="12"/>
    </row>
    <row r="52" spans="1:2">
      <c r="A52" t="s">
        <v>15</v>
      </c>
      <c r="B52" t="s">
        <v>128</v>
      </c>
    </row>
    <row r="53" spans="1:2">
      <c r="A53" s="16">
        <v>1</v>
      </c>
      <c r="B53" s="17">
        <v>60</v>
      </c>
    </row>
    <row r="54" spans="1:2">
      <c r="A54">
        <v>2</v>
      </c>
      <c r="B54" s="13">
        <v>62</v>
      </c>
    </row>
    <row r="55" spans="1:2">
      <c r="A55">
        <v>3</v>
      </c>
      <c r="B55" s="13">
        <v>562</v>
      </c>
    </row>
    <row r="56" spans="1:2">
      <c r="A56">
        <v>4</v>
      </c>
      <c r="B56" s="13">
        <v>545</v>
      </c>
    </row>
    <row r="57" spans="1:2">
      <c r="A57">
        <v>5</v>
      </c>
      <c r="B57" s="13">
        <v>545</v>
      </c>
    </row>
    <row r="58" spans="1:2">
      <c r="A58">
        <v>6</v>
      </c>
      <c r="B58" s="13">
        <v>531</v>
      </c>
    </row>
    <row r="59" spans="1:2">
      <c r="A59">
        <v>7</v>
      </c>
      <c r="B59" s="13">
        <v>548</v>
      </c>
    </row>
    <row r="60" spans="1:2">
      <c r="A60">
        <v>8</v>
      </c>
      <c r="B60" s="13">
        <v>550</v>
      </c>
    </row>
    <row r="61" spans="1:2">
      <c r="A61">
        <v>9</v>
      </c>
      <c r="B61" s="13">
        <v>548</v>
      </c>
    </row>
    <row r="62" spans="1:2">
      <c r="A62" s="18">
        <v>10</v>
      </c>
      <c r="B62" s="19">
        <v>610</v>
      </c>
    </row>
    <row r="63" spans="1:2">
      <c r="A63">
        <v>11</v>
      </c>
      <c r="B63" s="13">
        <v>552</v>
      </c>
    </row>
    <row r="64" spans="1:2">
      <c r="A64">
        <v>12</v>
      </c>
      <c r="B64" s="13">
        <v>275</v>
      </c>
    </row>
    <row r="65" spans="1:2">
      <c r="A65" t="s">
        <v>129</v>
      </c>
      <c r="B65" s="13">
        <v>5388</v>
      </c>
    </row>
    <row r="69" ht="15.75" spans="1:1">
      <c r="A69" s="12"/>
    </row>
    <row r="70" ht="15.75" spans="1:1">
      <c r="A70" s="12"/>
    </row>
    <row r="71" ht="15.75" spans="1:1">
      <c r="A71" s="12"/>
    </row>
    <row r="72" ht="15.75" spans="1:1">
      <c r="A72" s="12"/>
    </row>
    <row r="73" ht="15.75" spans="1:1">
      <c r="A73" s="12"/>
    </row>
    <row r="78" spans="1:3">
      <c r="A78" s="20"/>
      <c r="B78" s="21"/>
      <c r="C78" s="22"/>
    </row>
    <row r="79" spans="1:3">
      <c r="A79" s="23"/>
      <c r="B79" s="24"/>
      <c r="C79" s="25"/>
    </row>
    <row r="80" spans="1:3">
      <c r="A80" s="23"/>
      <c r="B80" s="24"/>
      <c r="C80" s="25"/>
    </row>
    <row r="81" spans="1:3">
      <c r="A81" s="23"/>
      <c r="B81" s="24"/>
      <c r="C81" s="25"/>
    </row>
    <row r="82" spans="1:3">
      <c r="A82" s="23"/>
      <c r="B82" s="24"/>
      <c r="C82" s="25"/>
    </row>
    <row r="83" spans="1:3">
      <c r="A83" s="23"/>
      <c r="B83" s="24"/>
      <c r="C83" s="25"/>
    </row>
    <row r="84" spans="1:3">
      <c r="A84" s="23"/>
      <c r="B84" s="24"/>
      <c r="C84" s="25"/>
    </row>
    <row r="85" spans="1:3">
      <c r="A85" s="23"/>
      <c r="B85" s="24"/>
      <c r="C85" s="25"/>
    </row>
    <row r="86" spans="1:3">
      <c r="A86" s="23"/>
      <c r="B86" s="24"/>
      <c r="C86" s="25"/>
    </row>
    <row r="87" spans="1:3">
      <c r="A87" s="23"/>
      <c r="B87" s="24"/>
      <c r="C87" s="25"/>
    </row>
    <row r="88" spans="1:3">
      <c r="A88" s="23"/>
      <c r="B88" s="24"/>
      <c r="C88" s="25"/>
    </row>
    <row r="89" spans="1:3">
      <c r="A89" s="23"/>
      <c r="B89" s="24"/>
      <c r="C89" s="25"/>
    </row>
    <row r="90" spans="1:3">
      <c r="A90" s="23"/>
      <c r="B90" s="24"/>
      <c r="C90" s="25"/>
    </row>
    <row r="91" spans="1:3">
      <c r="A91" s="23"/>
      <c r="B91" s="24"/>
      <c r="C91" s="25"/>
    </row>
    <row r="92" spans="1:3">
      <c r="A92" s="23"/>
      <c r="B92" s="24"/>
      <c r="C92" s="25"/>
    </row>
    <row r="93" spans="1:3">
      <c r="A93" s="23"/>
      <c r="B93" s="24"/>
      <c r="C93" s="25"/>
    </row>
    <row r="94" spans="1:3">
      <c r="A94" s="23"/>
      <c r="B94" s="24"/>
      <c r="C94" s="25"/>
    </row>
    <row r="95" spans="1:3">
      <c r="A95" s="26"/>
      <c r="B95" s="27"/>
      <c r="C95" s="2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284"/>
  <sheetViews>
    <sheetView showGridLines="0" showRowColHeaders="0" tabSelected="1" zoomScale="90" zoomScaleNormal="90" workbookViewId="0">
      <selection activeCell="O18" sqref="O18"/>
    </sheetView>
  </sheetViews>
  <sheetFormatPr defaultColWidth="9.14285714285714" defaultRowHeight="12.75"/>
  <cols>
    <col min="1" max="1" width="29.7142857142857" style="2" customWidth="1"/>
    <col min="2" max="2" width="3.14285714285714" customWidth="1"/>
    <col min="7" max="7" width="21.5904761904762" customWidth="1"/>
    <col min="14" max="14" width="20.4285714285714"/>
  </cols>
  <sheetData>
    <row r="2" ht="45" customHeight="1" spans="2:17">
      <c r="B2" s="3" t="s">
        <v>136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10"/>
      <c r="Q2" s="10"/>
    </row>
    <row r="3" customFormat="1" ht="13" customHeight="1" spans="1:2">
      <c r="A3" s="2"/>
      <c r="B3" s="6"/>
    </row>
    <row r="4" s="1" customFormat="1" ht="20" customHeight="1" spans="1:3">
      <c r="A4" s="2"/>
      <c r="C4" s="7" t="s">
        <v>137</v>
      </c>
    </row>
    <row r="5" s="1" customFormat="1" spans="1:1">
      <c r="A5" s="2"/>
    </row>
    <row r="6" s="1" customFormat="1" spans="1:1">
      <c r="A6" s="2"/>
    </row>
    <row r="7" s="1" customFormat="1" spans="1:12">
      <c r="A7" s="2"/>
      <c r="L7" s="11"/>
    </row>
    <row r="8" s="1" customFormat="1" spans="1:1">
      <c r="A8" s="2"/>
    </row>
    <row r="9" s="1" customFormat="1" ht="28.5" spans="1:14">
      <c r="A9" s="2"/>
      <c r="G9" s="8">
        <f>Cálculos!C16</f>
        <v>1350</v>
      </c>
      <c r="N9" s="8">
        <f>Cálculos!C29</f>
        <v>900</v>
      </c>
    </row>
    <row r="10" s="1" customFormat="1" spans="1:1">
      <c r="A10" s="2"/>
    </row>
    <row r="11" s="1" customFormat="1" spans="1:1">
      <c r="A11" s="2"/>
    </row>
    <row r="12" s="1" customFormat="1" spans="1:1">
      <c r="A12" s="2"/>
    </row>
    <row r="13" s="1" customFormat="1" spans="1:1">
      <c r="A13" s="2"/>
    </row>
    <row r="14" s="1" customFormat="1" spans="1:1">
      <c r="A14" s="2"/>
    </row>
    <row r="15" s="1" customFormat="1" spans="1:1">
      <c r="A15" s="2"/>
    </row>
    <row r="16" s="1" customFormat="1" spans="1:1">
      <c r="A16" s="2"/>
    </row>
    <row r="17" s="1" customFormat="1" spans="1:1">
      <c r="A17" s="2"/>
    </row>
    <row r="18" s="1" customFormat="1" spans="1:1">
      <c r="A18" s="2"/>
    </row>
    <row r="19" s="1" customFormat="1" spans="1:1">
      <c r="A19" s="2"/>
    </row>
    <row r="20" s="1" customFormat="1" spans="1:1">
      <c r="A20" s="2"/>
    </row>
    <row r="21" s="1" customFormat="1" spans="1:1">
      <c r="A21" s="2"/>
    </row>
    <row r="22" s="1" customFormat="1" spans="1:1">
      <c r="A22" s="2"/>
    </row>
    <row r="23" s="1" customFormat="1" spans="1:1">
      <c r="A23" s="2"/>
    </row>
    <row r="24" s="1" customFormat="1" spans="1:1">
      <c r="A24" s="2"/>
    </row>
    <row r="25" s="1" customFormat="1" spans="1:1">
      <c r="A25" s="2"/>
    </row>
    <row r="26" s="1" customFormat="1" spans="1:1">
      <c r="A26" s="2"/>
    </row>
    <row r="27" s="1" customFormat="1" spans="1:1">
      <c r="A27" s="2"/>
    </row>
    <row r="28" s="1" customFormat="1" spans="1:1">
      <c r="A28" s="2"/>
    </row>
    <row r="29" s="1" customFormat="1" spans="1:1">
      <c r="A29" s="2"/>
    </row>
    <row r="30" s="1" customFormat="1" spans="1:1">
      <c r="A30" s="2"/>
    </row>
    <row r="31" s="1" customFormat="1" spans="1:1">
      <c r="A31" s="2"/>
    </row>
    <row r="32" s="1" customFormat="1" spans="1:1">
      <c r="A32" s="2"/>
    </row>
    <row r="33" s="1" customFormat="1" spans="1:1">
      <c r="A33" s="2"/>
    </row>
    <row r="34" s="1" customFormat="1" spans="1:1">
      <c r="A34" s="2"/>
    </row>
    <row r="35" s="1" customFormat="1" spans="1:1">
      <c r="A35" s="2"/>
    </row>
    <row r="36" s="1" customFormat="1" spans="1:1">
      <c r="A36" s="2"/>
    </row>
    <row r="37" s="1" customFormat="1" spans="1:1">
      <c r="A37" s="2"/>
    </row>
    <row r="38" s="1" customFormat="1" spans="1:1">
      <c r="A38" s="2"/>
    </row>
    <row r="39" s="1" customFormat="1" spans="1:1">
      <c r="A39" s="2"/>
    </row>
    <row r="40" s="1" customFormat="1" ht="28.5" spans="1:14">
      <c r="A40" s="2"/>
      <c r="G40" s="9" t="str">
        <f>TEXT(DATE(2024,Cálculos!A44,1),"mmmm")</f>
        <v>outubro</v>
      </c>
      <c r="N40" s="9" t="str">
        <f>TEXT(DATE(2024,Cálculos!A53,1),"mmmm")</f>
        <v>janeiro</v>
      </c>
    </row>
    <row r="41" s="1" customFormat="1" spans="1:1">
      <c r="A41" s="2"/>
    </row>
    <row r="42" s="1" customFormat="1" spans="1:1">
      <c r="A42" s="2"/>
    </row>
    <row r="43" s="1" customFormat="1" spans="1:1">
      <c r="A43" s="2"/>
    </row>
    <row r="44" s="1" customFormat="1" spans="1:1">
      <c r="A44" s="2"/>
    </row>
    <row r="45" s="1" customFormat="1" spans="1:1">
      <c r="A45" s="2"/>
    </row>
    <row r="46" s="1" customFormat="1" spans="1:1">
      <c r="A46" s="2"/>
    </row>
    <row r="47" s="1" customFormat="1" spans="1:1">
      <c r="A47" s="2"/>
    </row>
    <row r="48" s="1" customFormat="1" spans="1:1">
      <c r="A48" s="2"/>
    </row>
    <row r="49" s="1" customFormat="1" spans="1:1">
      <c r="A49" s="2"/>
    </row>
    <row r="50" s="1" customFormat="1" spans="1:1">
      <c r="A50" s="2"/>
    </row>
    <row r="51" s="1" customFormat="1" spans="1:1">
      <c r="A51" s="2"/>
    </row>
    <row r="52" s="1" customFormat="1" spans="1:1">
      <c r="A52" s="2"/>
    </row>
    <row r="53" s="1" customFormat="1" spans="1:1">
      <c r="A53" s="2"/>
    </row>
    <row r="54" s="1" customFormat="1" spans="1:1">
      <c r="A54" s="2"/>
    </row>
    <row r="55" s="1" customFormat="1" spans="1:1">
      <c r="A55" s="2"/>
    </row>
    <row r="56" s="1" customFormat="1" spans="1:1">
      <c r="A56" s="2"/>
    </row>
    <row r="57" s="1" customFormat="1" spans="1:1">
      <c r="A57" s="2"/>
    </row>
    <row r="58" s="1" customFormat="1" spans="1:1">
      <c r="A58" s="2"/>
    </row>
    <row r="59" s="1" customFormat="1" spans="1:1">
      <c r="A59" s="2"/>
    </row>
    <row r="60" s="1" customFormat="1" spans="1:1">
      <c r="A60" s="2"/>
    </row>
    <row r="61" s="1" customFormat="1" spans="1:1">
      <c r="A61" s="2"/>
    </row>
    <row r="62" s="1" customFormat="1" spans="1:1">
      <c r="A62" s="2"/>
    </row>
    <row r="63" s="1" customFormat="1" spans="1:1">
      <c r="A63" s="2"/>
    </row>
    <row r="64" s="1" customFormat="1" spans="1:1">
      <c r="A64" s="2"/>
    </row>
    <row r="65" s="1" customFormat="1" spans="1:1">
      <c r="A65" s="2"/>
    </row>
    <row r="66" s="1" customFormat="1" spans="1:1">
      <c r="A66" s="2"/>
    </row>
    <row r="67" s="1" customFormat="1" spans="1:1">
      <c r="A67" s="2"/>
    </row>
    <row r="68" s="1" customFormat="1" spans="1:1">
      <c r="A68" s="2"/>
    </row>
    <row r="69" s="1" customFormat="1" spans="1:1">
      <c r="A69" s="2"/>
    </row>
    <row r="70" s="1" customFormat="1" spans="1:1">
      <c r="A70" s="2"/>
    </row>
    <row r="71" s="1" customFormat="1" spans="1:1">
      <c r="A71" s="2"/>
    </row>
    <row r="72" s="1" customFormat="1" spans="1:1">
      <c r="A72" s="2"/>
    </row>
    <row r="73" s="1" customFormat="1" spans="1:1">
      <c r="A73" s="2"/>
    </row>
    <row r="74" s="1" customFormat="1" spans="1:1">
      <c r="A74" s="2"/>
    </row>
    <row r="75" s="1" customFormat="1" spans="1:1">
      <c r="A75" s="2"/>
    </row>
    <row r="76" s="1" customFormat="1" spans="1:1">
      <c r="A76" s="2"/>
    </row>
    <row r="77" s="1" customFormat="1" spans="1:1">
      <c r="A77" s="2"/>
    </row>
    <row r="78" s="1" customFormat="1" spans="1:1">
      <c r="A78" s="2"/>
    </row>
    <row r="79" s="1" customFormat="1" spans="1:1">
      <c r="A79" s="2"/>
    </row>
    <row r="80" s="1" customFormat="1" spans="1:1">
      <c r="A80" s="2"/>
    </row>
    <row r="81" s="1" customFormat="1" spans="1:1">
      <c r="A81" s="2"/>
    </row>
    <row r="82" s="1" customFormat="1" spans="1:1">
      <c r="A82" s="2"/>
    </row>
    <row r="83" s="1" customFormat="1" spans="1:1">
      <c r="A83" s="2"/>
    </row>
    <row r="84" s="1" customFormat="1" spans="1:1">
      <c r="A84" s="2"/>
    </row>
    <row r="85" s="1" customFormat="1" spans="1:1">
      <c r="A85" s="2"/>
    </row>
    <row r="86" s="1" customFormat="1" spans="1:1">
      <c r="A86" s="2"/>
    </row>
    <row r="87" s="1" customFormat="1" spans="1:1">
      <c r="A87" s="2"/>
    </row>
    <row r="88" s="1" customFormat="1" spans="1:1">
      <c r="A88" s="2"/>
    </row>
    <row r="89" s="1" customFormat="1" spans="1:1">
      <c r="A89" s="2"/>
    </row>
    <row r="90" s="1" customFormat="1" spans="1:1">
      <c r="A90" s="2"/>
    </row>
    <row r="91" s="1" customFormat="1" spans="1:1">
      <c r="A91" s="2"/>
    </row>
    <row r="92" s="1" customFormat="1" spans="1:1">
      <c r="A92" s="2"/>
    </row>
    <row r="93" s="1" customFormat="1" spans="1:1">
      <c r="A93" s="2"/>
    </row>
    <row r="94" s="1" customFormat="1" spans="1:1">
      <c r="A94" s="2"/>
    </row>
    <row r="95" s="1" customFormat="1" spans="1:1">
      <c r="A95" s="2"/>
    </row>
    <row r="96" s="1" customFormat="1" spans="1:1">
      <c r="A96" s="2"/>
    </row>
    <row r="97" s="1" customFormat="1" spans="1:1">
      <c r="A97" s="2"/>
    </row>
    <row r="98" s="1" customFormat="1" spans="1:1">
      <c r="A98" s="2"/>
    </row>
    <row r="99" s="1" customFormat="1" spans="1:1">
      <c r="A99" s="2"/>
    </row>
    <row r="100" s="1" customFormat="1" spans="1:1">
      <c r="A100" s="2"/>
    </row>
    <row r="101" s="1" customFormat="1" spans="1:1">
      <c r="A101" s="2"/>
    </row>
    <row r="102" s="1" customFormat="1" spans="1:1">
      <c r="A102" s="2"/>
    </row>
    <row r="103" s="1" customFormat="1" spans="1:1">
      <c r="A103" s="2"/>
    </row>
    <row r="104" s="1" customFormat="1" spans="1:1">
      <c r="A104" s="2"/>
    </row>
    <row r="105" s="1" customFormat="1" spans="1:1">
      <c r="A105" s="2"/>
    </row>
    <row r="106" s="1" customFormat="1" spans="1:1">
      <c r="A106" s="2"/>
    </row>
    <row r="107" s="1" customFormat="1" spans="1:1">
      <c r="A107" s="2"/>
    </row>
    <row r="108" s="1" customFormat="1" spans="1:1">
      <c r="A108" s="2"/>
    </row>
    <row r="109" s="1" customFormat="1" spans="1:1">
      <c r="A109" s="2"/>
    </row>
    <row r="110" s="1" customFormat="1" spans="1:1">
      <c r="A110" s="2"/>
    </row>
    <row r="111" s="1" customFormat="1" spans="1:1">
      <c r="A111" s="2"/>
    </row>
    <row r="112" s="1" customFormat="1" spans="1:1">
      <c r="A112" s="2"/>
    </row>
    <row r="113" s="1" customFormat="1" spans="1:1">
      <c r="A113" s="2"/>
    </row>
    <row r="114" s="1" customFormat="1" spans="1:1">
      <c r="A114" s="2"/>
    </row>
    <row r="115" s="1" customFormat="1" spans="1:1">
      <c r="A115" s="2"/>
    </row>
    <row r="116" s="1" customFormat="1" spans="1:1">
      <c r="A116" s="2"/>
    </row>
    <row r="117" s="1" customFormat="1" spans="1:1">
      <c r="A117" s="2"/>
    </row>
    <row r="118" s="1" customFormat="1" spans="1:1">
      <c r="A118" s="2"/>
    </row>
    <row r="119" s="1" customFormat="1" spans="1:1">
      <c r="A119" s="2"/>
    </row>
    <row r="120" s="1" customFormat="1" spans="1:1">
      <c r="A120" s="2"/>
    </row>
    <row r="121" s="1" customFormat="1" spans="1:1">
      <c r="A121" s="2"/>
    </row>
    <row r="122" s="1" customFormat="1" spans="1:1">
      <c r="A122" s="2"/>
    </row>
    <row r="123" s="1" customFormat="1" spans="1:1">
      <c r="A123" s="2"/>
    </row>
    <row r="124" s="1" customFormat="1" spans="1:1">
      <c r="A124" s="2"/>
    </row>
    <row r="125" s="1" customFormat="1" spans="1:1">
      <c r="A125" s="2"/>
    </row>
    <row r="126" s="1" customFormat="1" spans="1:1">
      <c r="A126" s="2"/>
    </row>
    <row r="127" s="1" customFormat="1" spans="1:1">
      <c r="A127" s="2"/>
    </row>
    <row r="128" s="1" customFormat="1" spans="1:1">
      <c r="A128" s="2"/>
    </row>
    <row r="129" s="1" customFormat="1" spans="1:1">
      <c r="A129" s="2"/>
    </row>
    <row r="130" s="1" customFormat="1" spans="1:1">
      <c r="A130" s="2"/>
    </row>
    <row r="131" s="1" customFormat="1" spans="1:1">
      <c r="A131" s="2"/>
    </row>
    <row r="132" s="1" customFormat="1" spans="1:1">
      <c r="A132" s="2"/>
    </row>
    <row r="133" s="1" customFormat="1" spans="1:1">
      <c r="A133" s="2"/>
    </row>
    <row r="134" s="1" customFormat="1" spans="1:1">
      <c r="A134" s="2"/>
    </row>
    <row r="135" s="1" customFormat="1" spans="1:1">
      <c r="A135" s="2"/>
    </row>
    <row r="136" s="1" customFormat="1" spans="1:1">
      <c r="A136" s="2"/>
    </row>
    <row r="137" s="1" customFormat="1" spans="1:1">
      <c r="A137" s="2"/>
    </row>
    <row r="138" s="1" customFormat="1" spans="1:1">
      <c r="A138" s="2"/>
    </row>
    <row r="139" s="1" customFormat="1" spans="1:1">
      <c r="A139" s="2"/>
    </row>
    <row r="140" s="1" customFormat="1" spans="1:1">
      <c r="A140" s="2"/>
    </row>
    <row r="141" s="1" customFormat="1" spans="1:1">
      <c r="A141" s="2"/>
    </row>
    <row r="142" s="1" customFormat="1" spans="1:1">
      <c r="A142" s="2"/>
    </row>
    <row r="143" s="1" customFormat="1" spans="1:1">
      <c r="A143" s="2"/>
    </row>
    <row r="144" s="1" customFormat="1" spans="1:1">
      <c r="A144" s="2"/>
    </row>
    <row r="145" s="1" customFormat="1" spans="1:1">
      <c r="A145" s="2"/>
    </row>
    <row r="146" s="1" customFormat="1" spans="1:1">
      <c r="A146" s="2"/>
    </row>
    <row r="147" s="1" customFormat="1" spans="1:1">
      <c r="A147" s="2"/>
    </row>
    <row r="148" s="1" customFormat="1" spans="1:1">
      <c r="A148" s="2"/>
    </row>
    <row r="149" s="1" customFormat="1" spans="1:1">
      <c r="A149" s="2"/>
    </row>
    <row r="150" s="1" customFormat="1" spans="1:1">
      <c r="A150" s="2"/>
    </row>
    <row r="151" s="1" customFormat="1" spans="1:1">
      <c r="A151" s="2"/>
    </row>
    <row r="152" s="1" customFormat="1" spans="1:1">
      <c r="A152" s="2"/>
    </row>
    <row r="153" s="1" customFormat="1" spans="1:1">
      <c r="A153" s="2"/>
    </row>
    <row r="154" s="1" customFormat="1" spans="1:1">
      <c r="A154" s="2"/>
    </row>
    <row r="155" s="1" customFormat="1" spans="1:1">
      <c r="A155" s="2"/>
    </row>
    <row r="156" s="1" customFormat="1" spans="1:1">
      <c r="A156" s="2"/>
    </row>
    <row r="157" s="1" customFormat="1" spans="1:1">
      <c r="A157" s="2"/>
    </row>
    <row r="158" s="1" customFormat="1" spans="1:1">
      <c r="A158" s="2"/>
    </row>
    <row r="159" s="1" customFormat="1" spans="1:1">
      <c r="A159" s="2"/>
    </row>
    <row r="160" s="1" customFormat="1" spans="1:1">
      <c r="A160" s="2"/>
    </row>
    <row r="161" s="1" customFormat="1" spans="1:1">
      <c r="A161" s="2"/>
    </row>
    <row r="162" s="1" customFormat="1" spans="1:1">
      <c r="A162" s="2"/>
    </row>
    <row r="163" s="1" customFormat="1" spans="1:1">
      <c r="A163" s="2"/>
    </row>
    <row r="164" s="1" customFormat="1" spans="1:1">
      <c r="A164" s="2"/>
    </row>
    <row r="165" s="1" customFormat="1" spans="1:1">
      <c r="A165" s="2"/>
    </row>
    <row r="166" s="1" customFormat="1" spans="1:1">
      <c r="A166" s="2"/>
    </row>
    <row r="167" s="1" customFormat="1" spans="1:1">
      <c r="A167" s="2"/>
    </row>
    <row r="168" s="1" customFormat="1" spans="1:1">
      <c r="A168" s="2"/>
    </row>
    <row r="169" s="1" customFormat="1" spans="1:1">
      <c r="A169" s="2"/>
    </row>
    <row r="170" s="1" customFormat="1" spans="1:1">
      <c r="A170" s="2"/>
    </row>
    <row r="171" s="1" customFormat="1" spans="1:1">
      <c r="A171" s="2"/>
    </row>
    <row r="172" s="1" customFormat="1" spans="1:1">
      <c r="A172" s="2"/>
    </row>
    <row r="173" s="1" customFormat="1" spans="1:1">
      <c r="A173" s="2"/>
    </row>
    <row r="174" s="1" customFormat="1" spans="1:1">
      <c r="A174" s="2"/>
    </row>
    <row r="175" s="1" customFormat="1" spans="1:1">
      <c r="A175" s="2"/>
    </row>
    <row r="176" s="1" customFormat="1" spans="1:1">
      <c r="A176" s="2"/>
    </row>
    <row r="177" s="1" customFormat="1" spans="1:1">
      <c r="A177" s="2"/>
    </row>
    <row r="178" s="1" customFormat="1" spans="1:1">
      <c r="A178" s="2"/>
    </row>
    <row r="179" s="1" customFormat="1" spans="1:1">
      <c r="A179" s="2"/>
    </row>
    <row r="180" s="1" customFormat="1" spans="1:1">
      <c r="A180" s="2"/>
    </row>
    <row r="181" s="1" customFormat="1" spans="1:1">
      <c r="A181" s="2"/>
    </row>
    <row r="182" s="1" customFormat="1" spans="1:1">
      <c r="A182" s="2"/>
    </row>
    <row r="183" s="1" customFormat="1" spans="1:1">
      <c r="A183" s="2"/>
    </row>
    <row r="184" s="1" customFormat="1" spans="1:1">
      <c r="A184" s="2"/>
    </row>
    <row r="185" s="1" customFormat="1" spans="1:1">
      <c r="A185" s="2"/>
    </row>
    <row r="186" s="1" customFormat="1" spans="1:1">
      <c r="A186" s="2"/>
    </row>
    <row r="187" s="1" customFormat="1" spans="1:1">
      <c r="A187" s="2"/>
    </row>
    <row r="188" s="1" customFormat="1" spans="1:1">
      <c r="A188" s="2"/>
    </row>
    <row r="189" s="1" customFormat="1" spans="1:1">
      <c r="A189" s="2"/>
    </row>
    <row r="190" s="1" customFormat="1" spans="1:1">
      <c r="A190" s="2"/>
    </row>
    <row r="191" s="1" customFormat="1" spans="1:1">
      <c r="A191" s="2"/>
    </row>
    <row r="192" s="1" customFormat="1" spans="1:1">
      <c r="A192" s="2"/>
    </row>
    <row r="193" s="1" customFormat="1" spans="1:1">
      <c r="A193" s="2"/>
    </row>
    <row r="194" s="1" customFormat="1" spans="1:1">
      <c r="A194" s="2"/>
    </row>
    <row r="195" s="1" customFormat="1" spans="1:1">
      <c r="A195" s="2"/>
    </row>
    <row r="196" s="1" customFormat="1" spans="1:1">
      <c r="A196" s="2"/>
    </row>
    <row r="197" s="1" customFormat="1" spans="1:1">
      <c r="A197" s="2"/>
    </row>
    <row r="198" s="1" customFormat="1" spans="1:1">
      <c r="A198" s="2"/>
    </row>
    <row r="199" s="1" customFormat="1" spans="1:1">
      <c r="A199" s="2"/>
    </row>
    <row r="200" s="1" customFormat="1" spans="1:1">
      <c r="A200" s="2"/>
    </row>
    <row r="201" s="1" customFormat="1" spans="1:1">
      <c r="A201" s="2"/>
    </row>
    <row r="202" s="1" customFormat="1" spans="1:1">
      <c r="A202" s="2"/>
    </row>
    <row r="203" s="1" customFormat="1" spans="1:1">
      <c r="A203" s="2"/>
    </row>
    <row r="204" s="1" customFormat="1" spans="1:1">
      <c r="A204" s="2"/>
    </row>
    <row r="205" s="1" customFormat="1" spans="1:1">
      <c r="A205" s="2"/>
    </row>
    <row r="206" s="1" customFormat="1" spans="1:1">
      <c r="A206" s="2"/>
    </row>
    <row r="207" s="1" customFormat="1" spans="1:1">
      <c r="A207" s="2"/>
    </row>
    <row r="208" s="1" customFormat="1" spans="1:1">
      <c r="A208" s="2"/>
    </row>
    <row r="209" s="1" customFormat="1" spans="1:1">
      <c r="A209" s="2"/>
    </row>
    <row r="210" s="1" customFormat="1" spans="1:1">
      <c r="A210" s="2"/>
    </row>
    <row r="211" s="1" customFormat="1" spans="1:1">
      <c r="A211" s="2"/>
    </row>
    <row r="212" s="1" customFormat="1" spans="1:1">
      <c r="A212" s="2"/>
    </row>
    <row r="213" s="1" customFormat="1" spans="1:1">
      <c r="A213" s="2"/>
    </row>
    <row r="214" s="1" customFormat="1" spans="1:1">
      <c r="A214" s="2"/>
    </row>
    <row r="215" s="1" customFormat="1" spans="1:1">
      <c r="A215" s="2"/>
    </row>
    <row r="216" s="1" customFormat="1" spans="1:1">
      <c r="A216" s="2"/>
    </row>
    <row r="217" s="1" customFormat="1" spans="1:1">
      <c r="A217" s="2"/>
    </row>
    <row r="218" s="1" customFormat="1" spans="1:1">
      <c r="A218" s="2"/>
    </row>
    <row r="219" s="1" customFormat="1" spans="1:1">
      <c r="A219" s="2"/>
    </row>
    <row r="220" s="1" customFormat="1" spans="1:1">
      <c r="A220" s="2"/>
    </row>
    <row r="221" s="1" customFormat="1" spans="1:1">
      <c r="A221" s="2"/>
    </row>
    <row r="222" s="1" customFormat="1" spans="1:1">
      <c r="A222" s="2"/>
    </row>
    <row r="223" s="1" customFormat="1" spans="1:1">
      <c r="A223" s="2"/>
    </row>
    <row r="224" s="1" customFormat="1" spans="1:1">
      <c r="A224" s="2"/>
    </row>
    <row r="225" s="1" customFormat="1" spans="1:1">
      <c r="A225" s="2"/>
    </row>
    <row r="226" s="1" customFormat="1" spans="1:1">
      <c r="A226" s="2"/>
    </row>
    <row r="227" s="1" customFormat="1" spans="1:1">
      <c r="A227" s="2"/>
    </row>
    <row r="228" s="1" customFormat="1" spans="1:1">
      <c r="A228" s="2"/>
    </row>
    <row r="229" s="1" customFormat="1" spans="1:1">
      <c r="A229" s="2"/>
    </row>
    <row r="230" s="1" customFormat="1" spans="1:1">
      <c r="A230" s="2"/>
    </row>
    <row r="231" s="1" customFormat="1" spans="1:1">
      <c r="A231" s="2"/>
    </row>
    <row r="232" s="1" customFormat="1" spans="1:1">
      <c r="A232" s="2"/>
    </row>
    <row r="233" s="1" customFormat="1" spans="1:1">
      <c r="A233" s="2"/>
    </row>
    <row r="234" s="1" customFormat="1" spans="1:1">
      <c r="A234" s="2"/>
    </row>
    <row r="235" s="1" customFormat="1" spans="1:1">
      <c r="A235" s="2"/>
    </row>
    <row r="236" s="1" customFormat="1" spans="1:1">
      <c r="A236" s="2"/>
    </row>
    <row r="237" s="1" customFormat="1" spans="1:1">
      <c r="A237" s="2"/>
    </row>
    <row r="238" s="1" customFormat="1" spans="1:1">
      <c r="A238" s="2"/>
    </row>
    <row r="239" s="1" customFormat="1" spans="1:1">
      <c r="A239" s="2"/>
    </row>
    <row r="240" s="1" customFormat="1" spans="1:1">
      <c r="A240" s="2"/>
    </row>
    <row r="241" s="1" customFormat="1" spans="1:1">
      <c r="A241" s="2"/>
    </row>
    <row r="242" s="1" customFormat="1" spans="1:1">
      <c r="A242" s="2"/>
    </row>
    <row r="243" s="1" customFormat="1" spans="1:1">
      <c r="A243" s="2"/>
    </row>
    <row r="244" s="1" customFormat="1" spans="1:1">
      <c r="A244" s="2"/>
    </row>
    <row r="245" s="1" customFormat="1" spans="1:1">
      <c r="A245" s="2"/>
    </row>
    <row r="246" s="1" customFormat="1" spans="1:1">
      <c r="A246" s="2"/>
    </row>
    <row r="247" s="1" customFormat="1" spans="1:1">
      <c r="A247" s="2"/>
    </row>
    <row r="248" s="1" customFormat="1" spans="1:1">
      <c r="A248" s="2"/>
    </row>
    <row r="249" s="1" customFormat="1" spans="1:1">
      <c r="A249" s="2"/>
    </row>
    <row r="250" s="1" customFormat="1" spans="1:1">
      <c r="A250" s="2"/>
    </row>
    <row r="251" s="1" customFormat="1" spans="1:1">
      <c r="A251" s="2"/>
    </row>
    <row r="252" s="1" customFormat="1" spans="1:1">
      <c r="A252" s="2"/>
    </row>
    <row r="253" s="1" customFormat="1" spans="1:1">
      <c r="A253" s="2"/>
    </row>
    <row r="254" s="1" customFormat="1" spans="1:1">
      <c r="A254" s="2"/>
    </row>
    <row r="255" s="1" customFormat="1" spans="1:1">
      <c r="A255" s="2"/>
    </row>
    <row r="256" s="1" customFormat="1" spans="1:1">
      <c r="A256" s="2"/>
    </row>
    <row r="257" s="1" customFormat="1" spans="1:1">
      <c r="A257" s="2"/>
    </row>
    <row r="258" s="1" customFormat="1" spans="1:1">
      <c r="A258" s="2"/>
    </row>
    <row r="259" s="1" customFormat="1" spans="1:1">
      <c r="A259" s="2"/>
    </row>
    <row r="260" s="1" customFormat="1" spans="1:1">
      <c r="A260" s="2"/>
    </row>
    <row r="261" s="1" customFormat="1" spans="1:1">
      <c r="A261" s="2"/>
    </row>
    <row r="262" s="1" customFormat="1" spans="1:1">
      <c r="A262" s="2"/>
    </row>
    <row r="263" s="1" customFormat="1" spans="1:1">
      <c r="A263" s="2"/>
    </row>
    <row r="264" s="1" customFormat="1" spans="1:1">
      <c r="A264" s="2"/>
    </row>
    <row r="265" s="1" customFormat="1" spans="1:1">
      <c r="A265" s="2"/>
    </row>
    <row r="266" s="1" customFormat="1" spans="1:1">
      <c r="A266" s="2"/>
    </row>
    <row r="267" s="1" customFormat="1" spans="1:1">
      <c r="A267" s="2"/>
    </row>
    <row r="268" s="1" customFormat="1" spans="1:1">
      <c r="A268" s="2"/>
    </row>
    <row r="269" s="1" customFormat="1" spans="1:1">
      <c r="A269" s="2"/>
    </row>
    <row r="270" s="1" customFormat="1" spans="1:1">
      <c r="A270" s="2"/>
    </row>
    <row r="271" s="1" customFormat="1" spans="1:1">
      <c r="A271" s="2"/>
    </row>
    <row r="272" s="1" customFormat="1" spans="1:1">
      <c r="A272" s="2"/>
    </row>
    <row r="273" s="1" customFormat="1" spans="1:1">
      <c r="A273" s="2"/>
    </row>
    <row r="274" s="1" customFormat="1" spans="1:1">
      <c r="A274" s="2"/>
    </row>
    <row r="275" s="1" customFormat="1" spans="1:1">
      <c r="A275" s="2"/>
    </row>
    <row r="276" s="1" customFormat="1" spans="1:1">
      <c r="A276" s="2"/>
    </row>
    <row r="277" s="1" customFormat="1" spans="1:1">
      <c r="A277" s="2"/>
    </row>
    <row r="278" s="1" customFormat="1" spans="1:1">
      <c r="A278" s="2"/>
    </row>
    <row r="279" s="1" customFormat="1" spans="1:1">
      <c r="A279" s="2"/>
    </row>
    <row r="280" s="1" customFormat="1" spans="1:1">
      <c r="A280" s="2"/>
    </row>
    <row r="281" s="1" customFormat="1" spans="1:1">
      <c r="A281" s="2"/>
    </row>
    <row r="282" s="1" customFormat="1" spans="1:1">
      <c r="A282" s="2"/>
    </row>
    <row r="283" s="1" customFormat="1" spans="1:1">
      <c r="A283" s="2"/>
    </row>
    <row r="284" s="1" customFormat="1" spans="1:1">
      <c r="A284" s="2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Assets</vt:lpstr>
      <vt:lpstr>Bases</vt:lpstr>
      <vt:lpstr>Cálculos</vt:lpstr>
      <vt:lpstr>Dashboards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Camila Fe</cp:lastModifiedBy>
  <dcterms:created xsi:type="dcterms:W3CDTF">2026-02-10T22:05:00Z</dcterms:created>
  <dcterms:modified xsi:type="dcterms:W3CDTF">2026-02-11T21:54:33Z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2C1DEEA9705B405DA58234C04468DC93_11</vt:lpwstr>
  </property>
  <property fmtid="{D5CDD505-2E9C-101B-9397-08002B2CF9AE}" pid="3" name="KSOProductBuildVer">
    <vt:lpwstr>1046-12.2.0.23196</vt:lpwstr>
  </property>
</Properties>
</file>